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ómo rellenar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Otros súper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.00&quot; €&quot;"/>
  </numFmts>
  <fonts count="13">
    <font>
      <name val="Calibri"/>
      <family val="2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i val="1"/>
      <color rgb="FF7F7F7F"/>
      <sz val="10.5"/>
    </font>
    <font>
      <name val="Arial"/>
      <b val="1"/>
      <color rgb="FF1F9D55"/>
      <sz val="10.5"/>
    </font>
    <font>
      <name val="Arial"/>
      <color rgb="FF000000"/>
      <sz val="10.5"/>
    </font>
    <font>
      <name val="Arial"/>
      <family val="2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2F6BFF"/>
      </patternFill>
    </fill>
    <fill>
      <patternFill patternType="solid">
        <fgColor rgb="FFFFF7CC"/>
      </patternFill>
    </fill>
    <fill>
      <patternFill patternType="solid">
        <fgColor rgb="FFF2F2F2"/>
      </patternFill>
    </fill>
    <fill>
      <patternFill patternType="solid">
        <fgColor rgb="001F7A5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164" fontId="8" fillId="3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10" fillId="3" borderId="1" applyAlignment="1" pivotButton="0" quotePrefix="0" xfId="0">
      <alignment horizontal="center" vertical="bottom"/>
    </xf>
    <xf numFmtId="165" fontId="10" fillId="3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 wrapText="1"/>
    </xf>
    <xf numFmtId="0" fontId="10" fillId="0" borderId="1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 wrapText="1"/>
    </xf>
    <xf numFmtId="164" fontId="8" fillId="3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 wrapText="1"/>
    </xf>
    <xf numFmtId="165" fontId="10" fillId="3" borderId="1" applyAlignment="1" pivotButton="0" quotePrefix="0" xfId="0">
      <alignment horizontal="center" vertical="bottom"/>
    </xf>
    <xf numFmtId="0" fontId="12" fillId="5" borderId="0" pivotButton="0" quotePrefix="0" xfId="0"/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8">
    <dxf>
      <fill>
        <patternFill>
          <bgColor rgb="FF2F6BFF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7F7F7F"/>
        </patternFill>
      </fill>
    </dxf>
    <dxf>
      <fill>
        <patternFill>
          <bgColor rgb="FFFFFFFF"/>
        </patternFill>
      </fill>
    </dxf>
    <dxf>
      <fill>
        <patternFill>
          <bgColor rgb="FFFFF7CC"/>
        </patternFill>
      </fill>
    </dxf>
    <dxf>
      <fill>
        <patternFill>
          <bgColor rgb="FFF2F2F2"/>
        </patternFill>
      </fill>
    </dxf>
    <dxf>
      <fill>
        <patternFill>
          <bgColor rgb="FF1F9D5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7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B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F9D5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  <author>None</author>
    <author>Cesta Casa</author>
  </authors>
  <commentList>
    <comment ref="A1" authorId="0" shapeId="0">
      <text>
        <t>Catálogo base de Cesta Casa (410 artículos). Añade filas al final si falta algo.</t>
      </text>
    </comment>
    <comment ref="J1" authorId="0" shapeId="0">
      <text>
        <t>Fórmula: supermercado con el precio más bajo de la fila.</t>
      </text>
    </comment>
    <comment ref="E3" authorId="1" shapeId="0">
      <text>
        <t>Producto consultado: Aguacate
Formato: 0.23 kg
Precio de origen: 1.15 € por envase/pieza o formato publicado
Valor de la celda: 1.15 €/ud.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I3" authorId="1" shapeId="0">
      <text>
        <t>Producto consultado: Aguacate PremaduradoPieza precio aprox.
Formato: Envase/pieza publicado; ver nota
Precio de origen: 1.00 € por envase/pieza o formato publicado
Valor de la celda: 1.00 €/ud.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https://tienda.consum.es/es/c/frescos/frutas/2179</t>
      </text>
    </comment>
    <comment ref="E4" authorId="1" shapeId="0">
      <text>
        <t>Producto consultado: Ajos morados
Formato: 0.25 kg
Precio de origen: 1.85 € por envase/pieza o formato publicado
Valor de la celda: 1.85 €/ud.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H4" authorId="1" shapeId="0">
      <text>
        <t>Producto consultado: Ajo Círculo de Calidad 250 g
Formato: 250 g
Precio de origen: 1.75 € por envase/pieza o formato publicado
Valor de la celda: 1.75 €/ud.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https://www.carrefour.es/supermercado/frescos/verduras-y-hortalizas/patatas-cebollas-y-ajos/cat220017/c</t>
      </text>
    </comment>
    <comment ref="I4" authorId="1" shapeId="0">
      <text>
        <t>Producto consultado: Ajos Secos Malla
Formato: Envase/pieza publicado; ver nota
Precio de origen: 1.85 € por envase/pieza o formato publicado
Valor de la celda: 1.85 €/ud.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https://tienda.consum.es/es/c/frescos/verduras/cebollas-ajos-puerros/2189</t>
      </text>
    </comment>
    <comment ref="E6" authorId="1" shapeId="0">
      <text>
        <t>Producto consultado: Apio verde
Formato: 0.66 kg
Precio de origen: 1.45 € por envase/pieza o formato publicado
Valor de la celda: 1.45 €/ud.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I6" authorId="1" shapeId="0">
      <text>
        <t>Producto consultado: Apio Verde Cortado Bandeja
Formato: Envase/pieza publicado; ver nota
Precio de origen: 1.45 € por envase/pieza o formato publicado
Valor de la celda: 1.45 €/ud.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https://tienda.consum.es/es/c/frescos/verduras/cebollas-ajos-puerros/2189</t>
      </text>
    </comment>
    <comment ref="G7" authorId="1" shapeId="0">
      <text>
        <t>Producto consultado: Arándano, envase 300 g
Formato: 300 g
Precio de origen: 3.69 € por envase/pieza o formato publicado
Valor de la celda: 3.69 €/ud.
ud significa el envase, pack o pieza descrito; no una unidad interna del multipack.
Oferta del 2026-09-28 al 2026-10-04
Consultado: 04/10/2026. Fecha de registro de fuente: 2026-10-04.
Fuente: web pública de Aldi. La tienda, zona y disponibilidad pueden cambiar el precio.
URL: https://www.aldi.es/ofertas.html?cid=APP_aldi_es_stage</t>
      </text>
    </comment>
    <comment ref="I7" authorId="1" shapeId="0">
      <text>
        <t>Producto consultado: Arándano Vaso
Formato: Envase/pieza publicado; ver nota
Precio de origen: 3.35 € por envase/pieza o formato publicado
Valor de la celda: 3.35 €/ud.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https://tienda.consum.es/es/c/frescos/frutas/frutos-rojos/5231</t>
      </text>
    </comment>
    <comment ref="E8" authorId="1" shapeId="0">
      <text>
        <t>Producto consultado: Berenjena
Formato: 0.41 kg
Precio de origen: 0.90 € por envase/pieza o formato publicado
Valor de la celda: 0.90 €/ud.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H8" authorId="1" shapeId="0">
      <text>
        <t>Producto consultado: Berenjena Carrefour a granel 1 kg aprox
Formato: 1 kg
Precio de origen: 1.79 € por envase/pieza o formato publicado
Valor de la celda: 1.79 €/ud.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https://www.carrefour.es/supermercado/frescos/verduras-y-hortalizas/hortalizas/cat220019/c</t>
      </text>
    </comment>
    <comment ref="I8" authorId="1" shapeId="0">
      <text>
        <t>Producto consultado: Berenjena NegraPieza precio aprox.
Formato: Envase/pieza publicado; ver nota
Precio de origen: 0.89 € por envase/pieza o formato publicado
Valor de la celda: 0.89 €/ud.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https://tienda.consum.es/es/c/frescos/verduras/calabaza-calabacin-berenjena/2194</t>
      </text>
    </comment>
    <comment ref="I9" authorId="1" shapeId="0">
      <text>
        <t>Producto consultado: Boniato RojoPieza precio aprox.
Formato: Envase/pieza publicado; ver nota
Precio de origen: 0.79 € por envase/pieza o formato publicado
Valor de la celda: 2.55 €/kg.
Consultado: 04/10/2026. Fecha de registro de fuente: 2026-10-04.
Fuente: web pública de Consum. La tienda, zona y disponibilidad pueden cambiar el precio.
URL: https://tienda.consum.es/es/c/frescos/verduras/zanahorias-otras-raices/2214</t>
      </text>
    </comment>
    <comment ref="E10" authorId="1" shapeId="0">
      <text>
        <t>Producto consultado: Brócoli
Formato: 0.44 kg
Precio de origen: 1.19 € por envase/pieza o formato publicado
Valor de la celda: 1.19 €/ud.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H10" authorId="1" shapeId="0">
      <text>
        <t>Producto consultado: Brócoli Carrefour 500 g
Formato: 500 g
Precio de origen: 1.35 € por envase/pieza o formato publicado
Valor de la celda: 1.35 €/ud.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https://www.carrefour.es/supermercado/frescos/verduras-y-hortalizas/hortalizas/cat220019/c</t>
      </text>
    </comment>
    <comment ref="I10" authorId="1" shapeId="0">
      <text>
        <t>Producto consultado: Brócoli Manojo
Formato: Envase/pieza publicado; ver nota
Precio de origen: 1.50 € por envase/pieza o formato publicado
Valor de la celda: 1.50 €/ud.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https://tienda.consum.es/es/c/frescos/verduras/brocoli-col-y-coliflor/2193</t>
      </text>
    </comment>
    <comment ref="E11" authorId="1" shapeId="0">
      <text>
        <t>Producto consultado: Calabacín verde
Formato: 0.41 kg
Precio de origen: 0.78 € por envase/pieza o formato publicado
Valor de la celda: 0.78 €/ud.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H11" authorId="1" shapeId="0">
      <text>
        <t>Producto consultado: Calabacín Carrefour a granel 1,2 kg aprox
Formato: 1,2 kg
Precio de origen: 1.55 € por envase/pieza o formato publicado
Valor de la celda: 1.55 €/ud.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https://www.carrefour.es/supermercado/frescos/verduras-y-hortalizas/hortalizas/cat220019/c</t>
      </text>
    </comment>
    <comment ref="I11" authorId="1" shapeId="0">
      <text>
        <t>Producto consultado: Calabacín VerdePieza precio aprox.
Formato: Envase/pieza publicado; ver nota
Precio de origen: 0.91 € por envase/pieza o formato publicado
Valor de la celda: 0.91 €/ud.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https://tienda.consum.es/es/c/frescos/verduras/calabaza-calabacin-berenjena/2194</t>
      </text>
    </comment>
    <comment ref="E12" authorId="1" shapeId="0">
      <text>
        <t>Producto consultado: Media calabaza cacahuete
Formato: 0.68 kg
Precio de origen: 2.04 € por envase/pieza o formato publicado
Valor de la celda: 3.00 €/kg.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https://cestio.es/mercadona/fruta-y-verdura?page=1</t>
      </text>
    </comment>
    <comment ref="I12" authorId="1" shapeId="0">
      <text>
        <t>Producto consultado: Calabaza EnteraPieza precio aprox.
Formato: Envase/pieza publicado; ver nota
Precio de origen: 2.93 € por envase/pieza o formato publicado
Valor de la celda: 1.99 €/kg.
Consultado: 04/10/2026. Fecha de registro de fuente: 2026-10-04.
Fuente: web pública de Consum. La tienda, zona y disponibilidad pueden cambiar el precio.
URL: https://tienda.consum.es/es/c/frescos/verduras/calabaza-calabacin-berenjena/2194</t>
      </text>
    </comment>
    <comment ref="G13" authorId="2" shapeId="0">
      <text>
        <t>Producto consultado:  Canónigos, 100 g
Formato: 100 g
Precio de origen: 0.99 € por envase/pieza o formato publicado
Valor de la celda: 0.99 €/ud.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https://www.aldi.es/producto/canonigos-600007700.html</t>
      </text>
    </comment>
    <comment ref="H13" authorId="1" shapeId="0">
      <text>
        <t>Producto consultado: Canónigos Carrefour El Mercado 125 g
Formato: 125 g
Precio de origen: 1.21 € por envase/pieza o formato publicado
Valor de la celda: 1.21 €/ud.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https://www.carrefour.es/supermercado/frescos/verduras-y-hortalizas/ensaladas-y-verduras-preparadas/cat220020/c</t>
      </text>
    </comment>
    <comment ref="I13" authorId="1" shapeId="0">
      <text>
        <t>Producto consultado: CONSUM Canónigos Bolsa 125 Gr
Formato: 125 Gr
Precio de origen: 1.20 € por envase/pieza o formato publicado
Valor de la celda: 1.20 €/ud.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https://tienda.consum.es/es/c/frescos/verduras/ensaladas-brotes/4514</t>
      </text>
    </comment>
    <comment ref="E14" authorId="1" shapeId="0">
      <text>
        <t>Producto consultado: Cebollas
Formato: 1 kg
Precio de origen: 1.50 € por envase/pieza o formato publicado
Valor de la celda: 1.50 €/ud.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H14" authorId="1" shapeId="0">
      <text>
        <t>Producto consultado: Cebolla Carrefour 1 kg
Formato: 1 kg
Precio de origen: 1.59 € por envase/pieza o formato publicado
Valor de la celda: 1.59 €/ud.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https://www.carrefour.es/supermercado/frescos/verduras-y-hortalizas/patatas-cebollas-y-ajos/cat220017/c</t>
      </text>
    </comment>
    <comment ref="I14" authorId="1" shapeId="0">
      <text>
        <t>Producto consultado: Cebolla Seca Malla
Formato: Envase/pieza publicado; ver nota
Precio de origen: 3.60 € por envase/pieza o formato publicado
Valor de la celda: 3.60 €/ud.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https://tienda.consum.es/es/c/frescos/verduras/cebollas-ajos-puerros/2189</t>
      </text>
    </comment>
    <comment ref="H15" authorId="1" shapeId="0">
      <text>
        <t>Producto consultado: Cebolla roja Carrefour 500 g
Formato: 500 g
Precio de origen: 1.39 € por envase/pieza o formato publicado
Valor de la celda: 1.39 €/ud.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https://www.carrefour.es/supermercado/frescos/verduras-y-hortalizas/patatas-cebollas-y-ajos/cat220017/c</t>
      </text>
    </comment>
    <comment ref="I15" authorId="1" shapeId="0">
      <text>
        <t>Producto consultado: Cebolla Morada Malla
Formato: Envase/pieza publicado; ver nota
Precio de origen: 1.40 € por envase/pieza o formato publicado
Valor de la celda: 1.40 €/ud.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https://tienda.consum.es/es/c/frescos/verduras/cebollas-ajos-puerros/2189</t>
      </text>
    </comment>
    <comment ref="E17" authorId="1" shapeId="0">
      <text>
        <t>Producto consultado: Champiñones blancos
Formato: 0.3 kg
Precio de origen: 1.56 € por envase/pieza o formato publicado
Valor de la celda: 1.56 €/ud.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E18" authorId="1" shapeId="0">
      <text>
        <t>Producto consultado: Cilantro
Formato: 0.02 kg
Precio de origen: 1.25 € por envase/pieza o formato publicado
Valor de la celda: 1.25 €/ud.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I18" authorId="1" shapeId="0">
      <text>
        <t>Producto consultado: EL DULZE Cilantro Bandeja 20 Gr
Formato: 20 Gr
Precio de origen: 1.25 € por envase/pieza o formato publicado
Valor de la celda: 1.25 €/ud.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https://tienda.consum.es/es/c/frescos/verduras/aromaticos/4515</t>
      </text>
    </comment>
    <comment ref="E19" authorId="1" shapeId="0">
      <text>
        <t>Producto consultado: Coliflor
Formato: 1.2 kg
Precio de origen: 3.00 € por envase/pieza o formato publicado
Valor de la celda: 3.00 €/ud.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I19" authorId="1" shapeId="0">
      <text>
        <t>Producto consultado: Coliflor GranelPieza precio aprox.
Formato: Envase/pieza publicado; ver nota
Precio de origen: 3.68 € por envase/pieza o formato publicado
Valor de la celda: 3.68 €/ud.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https://tienda.consum.es/es/c/frescos/verduras/brocoli-col-y-coliflor/2193</t>
      </text>
    </comment>
    <comment ref="E20" authorId="1" shapeId="0">
      <text>
        <t>Producto consultado: Ensalada mezcla 4 estaciones lavada
Formato: 0.25 kg
Precio de origen: 0.85 € por envase/pieza o formato publicado
Valor de la celda: 0.85 €/ud.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G20" authorId="2" shapeId="0">
      <text>
        <t>Producto consultado:  Ensalada iceberg, 250 g
Formato: 250 g
Precio de origen: 0.95 € por envase/pieza o formato publicado
Valor de la celda: 0.95 €/ud.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https://www.aldi.es/producto/ensalada-iceberg-315700.html</t>
      </text>
    </comment>
    <comment ref="I20" authorId="1" shapeId="0">
      <text>
        <t>Producto consultado: CONSUM Ensalada 4 Estaciones Bolsa 250 Gr
Formato: 250 Gr
Precio de origen: 0.85 € por envase/pieza o formato publicado
Valor de la celda: 0.85 €/ud.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https://tienda.consum.es/es/c/frescos/verduras/ensaladas-brotes/4514</t>
      </text>
    </comment>
    <comment ref="E21" authorId="1" shapeId="0">
      <text>
        <t>Producto consultado: Espinacas cortadas y lavadas
Formato: 0.3 kg
Precio de origen: 1.30 € por envase/pieza o formato publicado
Valor de la celda: 1.30 €/ud.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G21" authorId="2" shapeId="0">
      <text>
        <t>Producto consultado:  Brotes de espinacas, 275 g
Formato: 275 g
Precio de origen: 1.49 € por envase/pieza o formato publicado
Valor de la celda: 1.49 €/ud.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https://www.aldi.es/producto/brotes-de-espinacas-316100.html</t>
      </text>
    </comment>
    <comment ref="H21" authorId="1" shapeId="0">
      <text>
        <t>Producto consultado: Espinaca troceada Carrefour El Mercado 300 g
Formato: 300 g
Precio de origen: 1.25 € por envase/pieza o formato publicado
Valor de la celda: 1.25 €/ud.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https://www.carrefour.es/supermercado/frescos/verduras-y-hortalizas/ensaladas-y-verduras-preparadas/cat220020/c</t>
      </text>
    </comment>
    <comment ref="I21" authorId="1" shapeId="0">
      <text>
        <t>Producto consultado: CONSUM Espinacas Bolsa 300 Gr
Formato: 300 Gr
Precio de origen: 1.30 € por envase/pieza o formato publicado
Valor de la celda: 1.30 €/ud.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https://tienda.consum.es/es/c/frescos/verduras/ensaladas-brotes/4514</t>
      </text>
    </comment>
    <comment ref="I22" authorId="1" shapeId="0">
      <text>
        <t>Producto consultado: Frambuesa bandeja
Formato: Envase/pieza publicado; ver nota
Precio de origen: 1.99 € por envase/pieza o formato publicado
Valor de la celda: 1.99 €/ud.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https://tienda.consum.es/es/c/frescos/frutas/frutos-rojos/5231</t>
      </text>
    </comment>
    <comment ref="E23" authorId="1" shapeId="0">
      <text>
        <t>Producto consultado: Fresas
Formato: 0.4 kg
Precio de origen: 3.00 € por envase/pieza o formato publicado
Valor de la celda: 3.00 €/ud.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E26" authorId="1" shapeId="0">
      <text>
        <t>Producto consultado: Judía verde plana
Formato: 0.35 kg
Precio de origen: 2.00 € por envase/pieza o formato publicado
Valor de la celda: 2.00 €/ud.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G26" authorId="2" shapeId="0">
      <text>
        <t>Producto consultado: ALL SEASONS Judías verdes planas, 360 g
Formato: 360 g
Precio de origen: 1.05 € por envase/pieza o formato publicado
Valor de la celda: 1.05 €/ud.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https://www.aldi.es/producto/judias-verdes-planas-504900.html</t>
      </text>
    </comment>
    <comment ref="E27" authorId="1" shapeId="0">
      <text>
        <t>Producto consultado: Kiwi verde
Formato: 0.11 kg
Precio de origen: 0.51 € por envase/pieza o formato publicado
Valor de la celda: 0.51 €/ud.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I27" authorId="1" shapeId="0">
      <text>
        <t>Producto consultado: ZESPRI Kiwi
Formato: Envase/pieza publicado; ver nota
Precio de origen: 0.56 € por envase/pieza o formato publicado
Valor de la celda: 0.56 €/ud.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https://tienda.consum.es/es/c/frescos/frutas/2179</t>
      </text>
    </comment>
    <comment ref="E28" authorId="1" shapeId="0">
      <text>
        <t>Producto consultado: Lechuga Iceberg
Formato: 1 ud
Precio de origen: 1.05 € por envase/pieza o formato publicado
Valor de la celda: 1.05 €/ud.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H28" authorId="1" shapeId="0">
      <text>
        <t>Producto consultado: Lechuga Iceberg Carrefour El Mercado 250 g
Formato: 250 g
Precio de origen: 0.89 € por envase/pieza o formato publicado
Valor de la celda: 0.89 €/ud.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https://www.carrefour.es/supermercado/frescos/verduras-y-hortalizas/ensaladas-y-verduras-preparadas/cat220020/c</t>
      </text>
    </comment>
    <comment ref="I28" authorId="1" shapeId="0">
      <text>
        <t>Producto consultado: Lechuga Romana Peso Aprox. 325 G.
Formato: 325 G
Precio de origen: 1.10 € por envase/pieza o formato publicado
Valor de la celda: 1.10 €/ud.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https://tienda.consum.es/es/c/frescos/verduras/2187</t>
      </text>
    </comment>
    <comment ref="E29" authorId="1" shapeId="0">
      <text>
        <t>Producto consultado: Lima
Formato: 0.07 kg
Precio de origen: 0.31 € por envase/pieza o formato publicado
Valor de la celda: 0.31 €/ud.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I29" authorId="1" shapeId="0">
      <text>
        <t>Producto consultado: Lima Bandeja
Formato: Envase/pieza publicado; ver nota
Precio de origen: 1.59 € por envase/pieza o formato publicado
Valor de la celda: 1.59 €/ud.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https://tienda.consum.es/es/c/frescos/frutas/2179</t>
      </text>
    </comment>
    <comment ref="E30" authorId="1" shapeId="0">
      <text>
        <t>Producto consultado: Limones
Formato: 1 kg
Precio de origen: 2.65 € por envase/pieza o formato publicado
Valor de la celda: 2.65 €/ud.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I30" authorId="1" shapeId="0">
      <text>
        <t>Producto consultado: Limón Malla
Formato: Envase/pieza publicado; ver nota
Precio de origen: 2.65 € por envase/pieza o formato publicado
Valor de la celda: 2.65 €/ud.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https://tienda.consum.es/es/c/frescos/frutas/2179</t>
      </text>
    </comment>
    <comment ref="E31" authorId="1" shapeId="0">
      <text>
        <t>Producto consultado: Mandarina
Formato: 0.12 kg
Precio de origen: 0.32 € por envase/pieza o formato publicado
Valor de la celda: 2.67 €/kg.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</t>
      </text>
    </comment>
    <comment ref="I31" authorId="1" shapeId="0">
      <text>
        <t>Producto consultado: Mandarina GranelPieza precio aprox.
Formato: Envase/pieza publicado; ver nota
Precio de origen: 0.33 € por envase/pieza o formato publicado
Valor de la celda: 2.65 €/kg.
Consultado: 04/10/2026. Fecha de registro de fuente: 2026-10-04.
Fuente: web pública de Consum. La tienda, zona y disponibilidad pueden cambiar el precio.
URL: https://tienda.consum.es/es/c/frescos/frutas/2179</t>
      </text>
    </comment>
    <comment ref="E32" authorId="1" shapeId="0">
      <text>
        <t>Producto consultado: Mango
Formato: 0.41 kg
Precio de origen: 1.11 € por envase/pieza o formato publicado
Valor de la celda: 1.11 €/ud.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I32" authorId="1" shapeId="0">
      <text>
        <t>Producto consultado: MangoPieza precio aprox.
Formato: Envase/pieza publicado; ver nota
Precio de origen: 1.50 € por envase/pieza o formato publicado
Valor de la celda: 1.50 €/ud.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https://tienda.consum.es/es/c/frescos/frutas/2179</t>
      </text>
    </comment>
    <comment ref="E33" authorId="1" shapeId="0">
      <text>
        <t>Producto consultado: Manzanas Golden
Formato: 1.55 kg
Precio de origen: 2.79 € por envase/pieza o formato publicado
Valor de la celda: 1.80 €/kg.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</t>
      </text>
    </comment>
    <comment ref="G33" authorId="1" shapeId="0">
      <text>
        <t>Producto consultado: Manzana, bolsa 1,5 kg
Formato: 1,5 kg
Precio de origen: 1.89 € por envase/pieza o formato publicado
Valor de la celda: 1.26 €/kg.
Oferta del 2026-09-28 al 2026-10-04
Consultado: 04/10/2026. Fecha de registro de fuente: 2026-10-04.
Fuente: web pública de Aldi. La tienda, zona y disponibilidad pueden cambiar el precio.
URL: https://www.aldi.es/ofertas.html?cid=APP_aldi_es_stage</t>
      </text>
    </comment>
    <comment ref="I33" authorId="1" shapeId="0">
      <text>
        <t>Producto consultado: Manzana GoldenPieza precio aprox.
Formato: Envase/pieza publicado; ver nota
Precio de origen: 0.53 € por envase/pieza o formato publicado
Valor de la celda: 2.40 €/kg.
Consultado: 04/10/2026. Fecha de registro de fuente: 2026-10-04.
Fuente: web pública de Consum. La tienda, zona y disponibilidad pueden cambiar el precio.
URL: https://tienda.consum.es/es/c/frescos/frutas/2179</t>
      </text>
    </comment>
    <comment ref="E35" authorId="1" shapeId="0">
      <text>
        <t>Producto consultado: Melocotón amarillo
Formato: 0.26 kg
Precio de origen: 0.86 € por envase/pieza o formato publicado
Valor de la celda: 3.31 €/kg.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https://cestio.es/mercadona/fruta-y-verdura?page=1</t>
      </text>
    </comment>
    <comment ref="G35" authorId="1" shapeId="0">
      <text>
        <t>Producto consultado: Melocotón amarillo, a granel
Formato: 1 kg
Precio de origen: 1.99 € por envase/pieza o formato publicado
Valor de la celda: 1.99 €/kg.
Oferta del 2026-10-02 al 2026-10-04
Consultado: 04/10/2026. Fecha de registro de fuente: 2026-10-04.
Fuente: web pública de Aldi. La tienda, zona y disponibilidad pueden cambiar el precio.
URL: https://www.aldi.es/ofertas.html?cid=APP_aldi_es_stage</t>
      </text>
    </comment>
    <comment ref="I36" authorId="1" shapeId="0">
      <text>
        <t>Producto consultado: Melón Piel de Sapo EnteroPieza precio aprox.
Formato: Envase/pieza publicado; ver nota
Precio de origen: 4.50 € por envase/pieza o formato publicado
Valor de la celda: 4.50 €/ud.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https://tienda.consum.es/es/c/frescos/frutas/2179</t>
      </text>
    </comment>
    <comment ref="E37" authorId="1" shapeId="0">
      <text>
        <t>Producto consultado: Naranjas
Formato: 3 kg
Precio de origen: 5.85 € por envase/pieza o formato publicado
Valor de la celda: 1.95 €/kg.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</t>
      </text>
    </comment>
    <comment ref="I37" authorId="1" shapeId="0">
      <text>
        <t>Producto consultado: Naranja Malla
Formato: Envase/pieza publicado; ver nota
Precio de origen: 4.59 € por envase/pieza o formato publicado
Valor de la celda: 2.30 €/kg.
Consultado: 04/10/2026. Fecha de registro de fuente: 2026-10-04.
Fuente: web pública de Consum. La tienda, zona y disponibilidad pueden cambiar el precio.
URL: https://tienda.consum.es/es/c/frescos/frutas/2179</t>
      </text>
    </comment>
    <comment ref="E38" authorId="1" shapeId="0">
      <text>
        <t>Producto consultado: Patatas
Formato: 3 kg
Precio de origen: 4.65 € por envase/pieza o formato publicado
Valor de la celda: 1.55 €/kg.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</t>
      </text>
    </comment>
    <comment ref="G38" authorId="1" shapeId="0">
      <text>
        <t>Producto consultado: Patatas, bolsa 5 kg
Formato: 5 kg
Precio de origen: 3.75 € por envase/pieza o formato publicado
Valor de la celda: 0.75 €/kg.
Oferta del 2026-09-28 al 2026-10-04
Consultado: 04/10/2026. Fecha de registro de fuente: 2026-10-04.
Fuente: web pública de Aldi. La tienda, zona y disponibilidad pueden cambiar el precio.
URL: https://www.aldi.es/ofertas.html?cid=APP_aldi_es_stage</t>
      </text>
    </comment>
    <comment ref="H38" authorId="1" shapeId="0">
      <text>
        <t>Producto consultado: Patata Lavada Carrefour 1 kg aprox
Formato: 1 kg
Precio de origen: 1.85 € por envase/pieza o formato publicado
Valor de la celda: 1.85 €/kg.
Consultado: 04/10/2026. Fecha de registro de fuente: 2026-10-04.
Fuente: web pública de Carrefour. La tienda, zona y disponibilidad pueden cambiar el precio.
URL: https://www.carrefour.es/supermercado/frescos/verduras-y-hortalizas/patatas-cebollas-y-ajos/cat220017/c</t>
      </text>
    </comment>
    <comment ref="E39" authorId="1" shapeId="0">
      <text>
        <t>Producto consultado: Pepino
Formato: 0.21 kg
Precio de origen: 0.36 € por envase/pieza o formato publicado
Valor de la celda: 0.36 €/ud.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G39" authorId="1" shapeId="0">
      <text>
        <t>Producto consultado: Pepino holandés, pieza 400 g aprox.
Formato: 400 g
Precio de origen: 0.75 € por envase/pieza o formato publicado
Valor de la celda: 0.75 €/ud.
ud significa el envase, pack o pieza descrito; no una unidad interna del multipack.
Oferta del 2026-10-02 al 2026-10-04
Consultado: 04/10/2026. Fecha de registro de fuente: 2026-10-04.
Fuente: web pública de Aldi. La tienda, zona y disponibilidad pueden cambiar el precio.
URL: https://www.aldi.es/ofertas.html?cid=APP_aldi_es_stage</t>
      </text>
    </comment>
    <comment ref="I39" authorId="1" shapeId="0">
      <text>
        <t>Producto consultado: PepinoPieza precio aprox.
Formato: Envase/pieza publicado; ver nota
Precio de origen: 0.36 € por envase/pieza o formato publicado
Valor de la celda: 0.36 €/ud.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https://tienda.consum.es/es/c/frescos/verduras/2187</t>
      </text>
    </comment>
    <comment ref="I40" authorId="1" shapeId="0">
      <text>
        <t>Producto consultado: Pera ConferenciaPieza precio aprox.
Formato: Envase/pieza publicado; ver nota
Precio de origen: 0.66 € por envase/pieza o formato publicado
Valor de la celda: 2.75 €/kg.
Consultado: 04/10/2026. Fecha de registro de fuente: 2026-10-04.
Fuente: web pública de Consum. La tienda, zona y disponibilidad pueden cambiar el precio.
URL: https://tienda.consum.es/es/c/frescos/frutas/2179</t>
      </text>
    </comment>
    <comment ref="E41" authorId="1" shapeId="0">
      <text>
        <t>Producto consultado: Perejil troceado lavado
Formato: 0.04 kg
Precio de origen: 0.95 € por envase/pieza o formato publicado
Valor de la celda: 0.95 €/ud.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I41" authorId="1" shapeId="0">
      <text>
        <t>Producto consultado: Perejil Bolsa
Formato: Envase/pieza publicado; ver nota
Precio de origen: 1.15 € por envase/pieza o formato publicado
Valor de la celda: 1.15 €/ud.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https://tienda.consum.es/es/c/frescos/verduras/aromaticos/4515</t>
      </text>
    </comment>
    <comment ref="E42" authorId="1" shapeId="0">
      <text>
        <t>Producto consultado: Pimiento rojo
Formato: 0.29 kg
Precio de origen: 0.84 € por envase/pieza o formato publicado
Valor de la celda: 0.84 €/ud.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H42" authorId="1" shapeId="0">
      <text>
        <t>Producto consultado: Pimiento rojo granel 1 Kg aprox
Formato: 1 Kg
Precio de origen: 2.29 € por envase/pieza o formato publicado
Valor de la celda: 2.29 €/ud.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https://www.carrefour.es/supermercado/frescos/verduras-y-hortalizas/hortalizas/cat220019/c</t>
      </text>
    </comment>
    <comment ref="I42" authorId="1" shapeId="0">
      <text>
        <t>Producto consultado: Pimiento RojoPieza precio aprox.
Formato: Envase/pieza publicado; ver nota
Precio de origen: 0.96 € por envase/pieza o formato publicado
Valor de la celda: 0.96 €/ud.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https://tienda.consum.es/es/c/frescos/verduras/2187</t>
      </text>
    </comment>
    <comment ref="E43" authorId="1" shapeId="0">
      <text>
        <t>Producto consultado: Pimiento verde freír
Formato: 0.09 kg
Precio de origen: 0.23 € por envase/pieza o formato publicado
Valor de la celda: 0.23 €/ud.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H43" authorId="1" shapeId="0">
      <text>
        <t>Producto consultado: Pimiento verde Italiano 1 kg aprox
Formato: 1 kg
Precio de origen: 2.45 € por envase/pieza o formato publicado
Valor de la celda: 2.45 €/ud.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https://www.carrefour.es/supermercado/frescos/verduras-y-hortalizas/hortalizas/cat220019/c</t>
      </text>
    </comment>
    <comment ref="I43" authorId="1" shapeId="0">
      <text>
        <t>Producto consultado: Pimiento VerdePieza precio aprox.
Formato: Envase/pieza publicado; ver nota
Precio de origen: 0.75 € por envase/pieza o formato publicado
Valor de la celda: 0.75 €/ud.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https://tienda.consum.es/es/c/frescos/verduras/2187</t>
      </text>
    </comment>
    <comment ref="E44" authorId="1" shapeId="0">
      <text>
        <t>Producto consultado: Piña
Formato: 2.08 kg
Precio de origen: 4.16 € por envase/pieza o formato publicado
Valor de la celda: 4.16 €/ud.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</t>
      </text>
    </comment>
    <comment ref="E45" authorId="1" shapeId="0">
      <text>
        <t>Producto consultado: Plátano de Canarias IGP
Formato: 0.17 kg
Precio de origen: 0.43 € por envase/pieza o formato publicado
Valor de la celda: 2.53 €/kg.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</t>
      </text>
    </comment>
    <comment ref="I45" authorId="1" shapeId="0">
      <text>
        <t>Producto consultado: Plátano Canario IGPPieza precio aprox.
Formato: Envase/pieza publicado; ver nota
Precio de origen: 0.43 € por envase/pieza o formato publicado
Valor de la celda: 2.30 €/kg.
Consultado: 04/10/2026. Fecha de registro de fuente: 2026-10-04.
Fuente: web pública de Consum. La tienda, zona y disponibilidad pueden cambiar el precio.
URL: https://tienda.consum.es/es/c/frescos/frutas/2179</t>
      </text>
    </comment>
    <comment ref="E46" authorId="1" shapeId="0">
      <text>
        <t>Producto consultado: Puerros
Formato: 0.45 kg
Precio de origen: 2.16 € por envase/pieza o formato publicado
Valor de la celda: 2.16 €/ud.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I46" authorId="1" shapeId="0">
      <text>
        <t>Producto consultado: Puerro GranelPieza precio aprox.
Formato: Envase/pieza publicado; ver nota
Precio de origen: 0.36 € por envase/pieza o formato publicado
Valor de la celda: 0.36 €/ud.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https://tienda.consum.es/es/c/frescos/verduras/cebollas-ajos-puerros/2189</t>
      </text>
    </comment>
    <comment ref="H47" authorId="1" shapeId="0">
      <text>
        <t>Producto consultado: Rúcula Carrefour El Mercado El Mercado 50 g
Formato: 50 g
Precio de origen: 0.79 € por envase/pieza o formato publicado
Valor de la celda: 0.79 €/ud.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https://www.carrefour.es/supermercado/frescos/verduras-y-hortalizas/ensaladas-y-verduras-preparadas/cat220020/c</t>
      </text>
    </comment>
    <comment ref="I47" authorId="1" shapeId="0">
      <text>
        <t>Producto consultado: CONSUM Rúcula Bolsa 50 Gr
Formato: 50 Gr
Precio de origen: 0.85 € por envase/pieza o formato publicado
Valor de la celda: 0.85 €/ud.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https://tienda.consum.es/es/c/frescos/verduras/ensaladas-brotes/4514</t>
      </text>
    </comment>
    <comment ref="E49" authorId="1" shapeId="0">
      <text>
        <t>Producto consultado: Tomate ensalada
Formato: 1.12 kg
Precio de origen: 2.58 € por envase/pieza o formato publicado
Valor de la celda: 2.30 €/kg.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</t>
      </text>
    </comment>
    <comment ref="H49" authorId="1" shapeId="0">
      <text>
        <t>Producto consultado: Tomate rama Carrefour 1 kg aprox
Formato: 1 kg
Precio de origen: 2.39 € por envase/pieza o formato publicado
Valor de la celda: 2.39 €/kg.
Consultado: 04/10/2026. Fecha de registro de fuente: 2026-10-04.
Fuente: web pública de Carrefour. La tienda, zona y disponibilidad pueden cambiar el precio.
URL: https://www.carrefour.es/supermercado/frescos/verduras-y-hortalizas/cat220014/c</t>
      </text>
    </comment>
    <comment ref="I49" authorId="1" shapeId="0">
      <text>
        <t>Producto consultado: Tomate EnsaladaPieza precio aprox.
Formato: Envase/pieza publicado; ver nota
Precio de origen: 0.51 € por envase/pieza o formato publicado
Valor de la celda: 2.55 €/kg.
Consultado: 04/10/2026. Fecha de registro de fuente: 2026-10-04.
Fuente: web pública de Consum. La tienda, zona y disponibilidad pueden cambiar el precio.
URL: https://tienda.consum.es/es/c/frescos/verduras/2187</t>
      </text>
    </comment>
    <comment ref="E50" authorId="1" shapeId="0">
      <text>
        <t>Producto consultado: Tomates cherry
Formato: 0.5 kg
Precio de origen: 2.20 € por envase/pieza o formato publicado
Valor de la celda: 2.20 €/ud.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https://cestio.es/mercadona/fruta-y-verdura?page=1</t>
      </text>
    </comment>
    <comment ref="E51" authorId="1" shapeId="0">
      <text>
        <t>Producto consultado: Uva roja sin semillas
Formato: 0.6 kg
Precio de origen: 2.25 € por envase/pieza o formato publicado
Valor de la celda: 3.75 €/kg.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https://cestio.es/mercadona/fruta-y-verdura?page=1</t>
      </text>
    </comment>
    <comment ref="G51" authorId="1" shapeId="0">
      <text>
        <t>Producto consultado: Uva de mesa roja, a granel
Formato: 1 kg
Precio de origen: 1.99 € por envase/pieza o formato publicado
Valor de la celda: 1.99 €/kg.
Oferta del 2026-09-28 al 2026-10-04
Precio publicado por kg; no por pieza.
Consultado: 04/10/2026. Fecha de registro de fuente: 2026-10-04.
Fuente: web pública de Aldi. La tienda, zona y disponibilidad pueden cambiar el precio.
URL: https://www.aldi.es/ofertas.html?cid=APP_aldi_es_stage</t>
      </text>
    </comment>
    <comment ref="E52" authorId="1" shapeId="0">
      <text>
        <t>Producto consultado: Zanahorias
Formato: 1 kg
Precio de origen: 1.00 € por envase/pieza o formato publicado
Valor de la celda: 1.00 €/kg.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https://cestio.es/mercadona/fruta-y-verdura</t>
      </text>
    </comment>
    <comment ref="H52" authorId="1" shapeId="0">
      <text>
        <t>Producto consultado: Zanahoria Círculo de Calidad Carrefour 500 g
Formato: 500 g
Precio de origen: 0.75 € por envase/pieza o formato publicado
Valor de la celda: 1.50 €/kg.
Consultado: 04/10/2026. Fecha de registro de fuente: 2026-10-04.
Fuente: web pública de Carrefour. La tienda, zona y disponibilidad pueden cambiar el precio.
URL: https://www.carrefour.es/supermercado/frescos/verduras-y-hortalizas/hortalizas/cat220019/c</t>
      </text>
    </comment>
    <comment ref="I52" authorId="1" shapeId="0">
      <text>
        <t>Producto consultado: Zanahoria Tierna Bolsa
Formato: Envase/pieza publicado; ver nota
Precio de origen: 0.80 € por envase/pieza o formato publicado
Valor de la celda: 1.60 €/kg.
Consultado: 04/10/2026. Fecha de registro de fuente: 2026-10-04.
Fuente: web pública de Consum. La tienda, zona y disponibilidad pueden cambiar el precio.
URL: https://tienda.consum.es/es/c/frescos/verduras/zanahorias-otras-raices/2214</t>
      </text>
    </comment>
    <comment ref="E53" authorId="1" shapeId="0">
      <text>
        <t>Producto consultado: Alas de pollo
Formato: 0.98 kg
Precio de origen: 4.36 € por envase/pieza o formato publicado
Valor de la celda: 4.36 €/ud.
ud significa el envase, pack o pieza descrito; no una unidad interna del multipack.
Consultado: 04/10/2026. Fecha de registro de fuente: 2026-10-04.
Fuente indirecta: Cestio, precio registrado para Mercadona; no confirmado directamente en tienda.
URL: https://cestio.es/mercadona/carne</t>
      </text>
    </comment>
    <comment ref="G53" authorId="1" shapeId="0">
      <text>
        <t>Producto consultado: Alas enteras de pollo, 600 g aprox.
Formato: 600 g
Precio de origen: 2.25 € por envase/pieza o formato publicado
Valor de la celda: 2.25 €/ud.
ud significa el envase, pack o pieza descrito; no una unidad interna del multipack.
Oferta del 2026-10-02 al 2026-10-04
Consultado: 04/10/2026. Fecha de registro de fuente: 2026-10-04.
Fuente: web pública de Aldi. La tienda, zona y disponibilidad pueden cambiar el precio.
URL: https://www.aldi.es/ofertas.html?cid=APP_aldi_es_stage</t>
      </text>
    </comment>
    <comment ref="I53" authorId="1" shapeId="0">
      <text>
        <t>Producto consultado: CONSUM Alas de Pollo
Formato: Envase/pieza publicado; ver nota
Precio de origen: 3.38 € por envase/pieza o formato publicado
Valor de la celda: 3.38 €/ud.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https://tienda.consum.es/es/c/frescos/carniceria/aves/2156</t>
      </text>
    </comment>
    <comment ref="G54" authorId="2" shapeId="0">
      <text>
        <t>Producto consultado: GOLDEN SEAFOOD Almejas del Pacífico (congelado), 450 g
Formato: 450 g
Precio de origen: 1.99 € por envase/pieza o formato publicado
Valor de la celda: 1.99 €/ud.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https://www.aldi.es/producto/almejas-del-pacifico-694000.html</t>
      </text>
    </comment>
    <comment ref="G55" authorId="2" shapeId="0">
      <text>
        <t>Producto consultado: GOLDEN SEAFOOD Filetes de atún (congelado), 360 g
Formato: 360 g
Precio de origen: 5.99 € por envase/pieza o formato publicado
Valor de la celda: 5.99 €/ud.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https://www.aldi.es/producto/filetes-de-atun-819400.html</t>
      </text>
    </comment>
    <comment ref="E56" authorId="1" shapeId="0">
      <text>
        <t>Producto consultado: Bacalao al punto de sal descongelado
Formato: 0.45 kg
Precio de origen: 9.50 € por envase/pieza o formato publicado
Valor de la celda: 9.50 €/ud.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https://cestio.es/mercadona/marisco-y-pescado?page=1</t>
      </text>
    </comment>
    <comment ref="G56" authorId="2" shapeId="0">
      <text>
        <t>Producto consultado: GOLDEN SEAFOOD Porciones de bacalao (congelado), 400 g
Formato: 400 g
Precio de origen: 7.65 € por envase/pieza o formato publicado
Valor de la celda: 7.65 €/ud.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https://www.aldi.es/producto/porciones-de-bacalao-600109300.html</t>
      </text>
    </comment>
    <comment ref="I56" authorId="1" shapeId="0">
      <text>
        <t>Producto consultado: Filete de BacalaoFilete precio aprox.
Formato: Envase/pieza publicado; ver nota
Precio de origen: 9.26 € por envase/pieza o formato publicado
Valor de la celda: 9.26 €/ud.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https://tienda.consum.es/es/c/frescos/pescaderia/pescado-blanco/4090</t>
      </text>
    </comment>
    <comment ref="H57" authorId="1" shapeId="0">
      <text>
        <t>Producto consultado: Boquerones 1 kg aprox
Formato: 1 kg
Precio de origen: 4.95 € por envase/pieza o formato publicado
Valor de la celda: 4.95 €/ud.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https://www.carrefour.es/supermercado/frescos/pescado-y-marisco/pescado-fresco/cat20125/c</t>
      </text>
    </comment>
    <comment ref="E58" authorId="1" shapeId="0">
      <text>
        <t>Producto consultado: Calamar pequeño limpio patagónico
Formato: 0.3 kg
Precio de origen: 5.85 € por envase/pieza o formato publicado
Valor de la celda: 5.85 €/ud.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https://cestio.es/mercadona/marisco-y-pescado?page=1</t>
      </text>
    </comment>
    <comment ref="I58" authorId="1" shapeId="0">
      <text>
        <t>Producto consultado: Calamar ExtraPieza precio aprox.
Formato: Envase/pieza publicado; ver nota
Precio de origen: 2.55 € por envase/pieza o formato publicado
Valor de la celda: 2.55 €/ud.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https://tienda.consum.es/es/c/frescos/pescaderia/calamar-sepia/4091</t>
      </text>
    </comment>
    <comment ref="E59" authorId="1" shapeId="0">
      <text>
        <t>Producto consultado: Preparado de carne picada cerdo
Formato: 0.5 kg
Precio de origen: 2.75 € por envase/pieza o formato publicado
Valor de la celda: 5.50 €/kg.
 Importe por kg calculado a partir del precio y cantidad registrados por Cestio; en piezas a peso es aproximado.
Consultado: 04/10/2026. Fecha de registro de fuente: 2026-10-04.
Fuente indirecta: Cestio, precio registrado para Mercadona; no confirmado directamente en tienda.
URL: https://cestio.es/mercadona/carne</t>
      </text>
    </comment>
    <comment ref="G59" authorId="1" shapeId="0">
      <text>
        <t>Producto consultado: GUTBIO Carne picada de vacuno ecológica, 340 g
Formato: 340 g
Precio de origen: 5.79 € por envase/pieza o formato publicado
Valor de la celda: 17.03 €/kg.
Oferta del 2026-09-28 al 2026-10-04
Ecológica; no equivalente a la preparación convencional.
Consultado: 04/10/2026. Fecha de registro de fuente: 2026-10-04.
Fuente: web pública de Aldi. La tienda, zona y disponibilidad pueden cambiar el precio.
URL: https://www.aldi.es/ofertas.html?cid=APP_aldi_es_stage</t>
      </text>
    </comment>
    <comment ref="I59" authorId="1" shapeId="0">
      <text>
        <t>Producto consultado: CONSUM Preparado Picada de Vacuno 400 Gr
Formato: 400 Gr
Precio de origen: 4.39 € por envase/pieza o formato publicado
Valor de la celda: 10.98 €/kg.
Consultado: 04/10/2026. Fecha de registro de fuente: 2026-10-04.
Fuente: web pública de Consum. La tienda, zona y disponibilidad pueden cambiar el precio.
URL: https://tienda.consum.es/es/c/frescos/carniceria/picadas-hamburguesas/2165</t>
      </text>
    </comment>
    <comment ref="E60" authorId="1" shapeId="0">
      <text>
        <t>Producto consultado: Chuletas aguja de cerdo
Formato: 0.73 kg
Precio de origen: 3.76 € por envase/pieza o formato publicado
Valor de la celda: 3.76 €/ud.
ud significa el envase, pack o pieza descrito; no una unidad interna del multipack.
Consultado: 04/10/2026. Fecha de registro de fuente: 2026-10-04.
Fuente indirecta: Cestio, precio registrado para Mercadona; no confirmado directamente en tienda.
URL: https://cestio.es/mercadona/carne</t>
      </text>
    </comment>
    <comment ref="H60" authorId="1" shapeId="0">
      <text>
        <t>Producto consultado: Chuleta de aguja de cerdo Carrefour 1 kg aprox
Formato: 1 kg
Precio de origen: 4.99 € por envase/pieza o formato publicado
Valor de la celda: 4.99 €/ud.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https://www.carrefour.es/supermercado/frescos/carne/cerdo/cat190011/c</t>
      </text>
    </comment>
    <comment ref="I60" authorId="1" shapeId="0">
      <text>
        <t>Producto consultado: CONSUM Chuleta Lomo de Cerdo
Formato: Envase/pieza publicado; ver nota
Precio de origen: 3.56 € por envase/pieza o formato publicado
Valor de la celda: 3.56 €/ud.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https://tienda.consum.es/es/c/frescos/carniceria/cerdo/2159</t>
      </text>
    </comment>
    <comment ref="E61" authorId="1" shapeId="0">
      <text>
        <t>Producto consultado: Conejo entero
Formato: 1.2 kg
Precio de origen: 10.68 € por envase/pieza o formato publicado
Valor de la celda: 10.68 €/ud.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https://cestio.es/mercadona/carne?page=1</t>
      </text>
    </comment>
    <comment ref="E63" authorId="1" shapeId="0">
      <text>
        <t>Producto consultado: Costilla de cerdo churrasco
Formato: 0.9 kg
Precio de origen: 5.13 € por envase/pieza o formato publicado
Valor de la celda: 5.13 €/ud.
ud significa el envase, pack o pieza descrito; no una unidad interna del multipack.
Consultado: 04/10/2026. Fecha de registro de fuente: 2026-10-04.
Fuente indirecta: Cestio, precio registrado para Mercadona; no confirmado directamente en tienda.
URL: https://cestio.es/mercadona/carne</t>
      </text>
    </comment>
    <comment ref="G63" authorId="1" shapeId="0">
      <text>
        <t>Producto consultado: Costillas de cerdo troceadas, 500 g aprox.
Formato: 500 g
Precio de origen: 3.63 € por envase/pieza o formato publicado
Valor de la celda: 3.63 €/ud.
ud significa el envase, pack o pieza descrito; no una unidad interna del multipack.
Oferta del 2026-09-28 al 2026-10-04
Precio/kg publicado: 7,25; peso y precio de bandeja aproximados.
Consultado: 04/10/2026. Fecha de registro de fuente: 2026-10-04.
Fuente: web pública de Aldi. La tienda, zona y disponibilidad pueden cambiar el precio.
URL: https://www.aldi.es/ofertas.html?cid=APP_aldi_es_stage</t>
      </text>
    </comment>
    <comment ref="H63" authorId="1" shapeId="0">
      <text>
        <t>Producto consultado: Costillas de Cerdo Carrefour 700 g aprox
Formato: 700 g
Precio de origen: 3.42 € por envase/pieza o formato publicado
Valor de la celda: 3.42 €/ud.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https://www.carrefour.es/supermercado/frescos/carne/cerdo/cat190011/c</t>
      </text>
    </comment>
    <comment ref="I63" authorId="1" shapeId="0">
      <text>
        <t>Producto consultado: CONSUM Costilla de Cerdo
Formato: Envase/pieza publicado; ver nota
Precio de origen: 4.81 € por envase/pieza o formato publicado
Valor de la celda: 4.81 €/ud.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https://tienda.consum.es/es/c/frescos/carniceria/cerdo/2159</t>
      </text>
    </comment>
    <comment ref="E64" authorId="1" shapeId="0">
      <text>
        <t>Producto consultado: Dorada limpia
Formato: 0.4 kg
Precio de origen: 5.00 € por envase/pieza o formato publicado
Valor de la celda: 5.00 €/ud.
ud significa el envase, pack o pieza descrito; no una unidad interna del multipack.
Consultado: 04/10/2026. Fecha de registro de fuente: 2026-09-29.
Fuente indirecta: Cestio, precio registrado para Mercadona; no confirmado directamente en tienda.
URL: https://cestio.es/mercadona/marisco-y-pescado</t>
      </text>
    </comment>
    <comment ref="G64" authorId="2" shapeId="0">
      <text>
        <t>Producto consultado: GOLDEN SEAFOOD Filete de dorada (congelado), 180 g
Formato: 180 g
Precio de origen: 4.49 € por envase/pieza o formato publicado
Valor de la celda: 4.49 €/ud.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https://www.aldi.es/producto/filete-de-dorada-601881100.html</t>
      </text>
    </comment>
    <comment ref="H64" authorId="1" shapeId="0">
      <text>
        <t>Producto consultado: Dorada de ración Carrefour 600 g aprox
Formato: 600 g
Precio de origen: 5.37 € por envase/pieza o formato publicado
Valor de la celda: 5.37 €/ud.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https://www.carrefour.es/supermercado/frescos/pescado-y-marisco/pescado-fresco/cat20125/c</t>
      </text>
    </comment>
    <comment ref="E66" authorId="1" shapeId="0">
      <text>
        <t>Producto consultado: Gamba cocida
Formato: 0.3 kg
Precio de origen: 6.95 € por envase/pieza o formato publicado
Valor de la celda: 6.95 €/ud.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https://cestio.es/mercadona/marisco-y-pescado?page=1</t>
      </text>
    </comment>
    <comment ref="I66" authorId="1" shapeId="0">
      <text>
        <t>Producto consultado: Gamba Blanca Lonjas del Mediterráneo
Formato: Envase/pieza publicado; ver nota
Precio de origen: 15.50 € por envase/pieza o formato publicado
Valor de la celda: 15.50 €/ud.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https://tienda.consum.es/es/c/frescos/pescaderia/pescado-blanco/4090</t>
      </text>
    </comment>
    <comment ref="G67" authorId="1" shapeId="0">
      <text>
        <t>Producto consultado: Burger meat de vacuno y cerdo, 540 g
Formato: 540 g
Precio de origen: 3.49 € por envase/pieza o formato publicado
Valor de la celda: 3.49 €/ud.
ud significa el envase, pack o pieza descrito; no una unidad interna del multipack.
Oferta del 2026-09-28 al 2026-10-04
Consultado: 04/10/2026. Fecha de registro de fuente: 2026-10-04.
Fuente: web pública de Aldi. La tienda, zona y disponibilidad pueden cambiar el precio.
URL: https://www.aldi.es/ofertas.html?cid=APP_aldi_es_stage</t>
      </text>
    </comment>
    <comment ref="H67" authorId="1" shapeId="0">
      <text>
        <t>Producto consultado: Hamburguesa de añojo Círculo de Calidad 2x150 g
Formato: 2x150 g
Precio de origen: 5.19 € por envase/pieza o formato publicado
Valor de la celda: 5.19 €/ud.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https://www.carrefour.es/supermercado/frescos/carne/vacuno/cat190010/c</t>
      </text>
    </comment>
    <comment ref="I67" authorId="1" shapeId="0">
      <text>
        <t>Producto consultado: CONSUM Burger de Vacuno 4 Unidades 360 Gr
Formato: 360 Gr
Precio de origen: 4.20 € por envase/pieza o formato publicado
Valor de la celda: 4.20 €/ud.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https://tienda.consum.es/es/c/frescos/carniceria/picadas-hamburguesas/2165</t>
      </text>
    </comment>
    <comment ref="E68" authorId="1" shapeId="0">
      <text>
        <t>Producto consultado: Langostino cocido
Formato: 0.6 kg
Precio de origen: 6.45 € por envase/pieza o formato publicado
Valor de la celda: 6.45 €/ud.
ud significa el envase, pack o pieza descrito; no una unidad interna del multipack.
Consultado: 04/10/2026. Fecha de registro de fuente: 2026-09-29.
Fuente indirecta: Cestio, precio registrado para Mercadona; no confirmado directamente en tienda.
URL: https://cestio.es/mercadona/marisco-y-pescado</t>
      </text>
    </comment>
    <comment ref="G68" authorId="2" shapeId="0">
      <text>
        <t>Producto consultado: GOLDEN SEAFOOD Cola de langostino pelada (congelado), 220 g
Formato: 220 g
Precio de origen: 4.29 € por envase/pieza o formato publicado
Valor de la celda: 4.29 €/ud.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https://www.aldi.es/producto/cola-de-langostino-pelada-601874600.html</t>
      </text>
    </comment>
    <comment ref="H68" authorId="1" shapeId="0">
      <text>
        <t>Producto consultado: Langostino cocido (40/60 ud) 1 kg aprox
Formato: 1 kg
Precio de origen: 10.95 € por envase/pieza o formato publicado
Valor de la celda: 10.95 €/ud.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https://www.carrefour.es/supermercado/frescos/pescado-y-marisco/cat20014/c</t>
      </text>
    </comment>
    <comment ref="E69" authorId="1" shapeId="0">
      <text>
        <t>Producto consultado: Lomo de cerdo trozo
Formato: 1.1 kg
Precio de origen: 4.95 € por envase/pieza o formato publicado
Valor de la celda: 4.95 €/ud.
ud significa el envase, pack o pieza descrito; no una unidad interna del multipack.
Consultado: 04/10/2026. Fecha de registro de fuente: 2026-10-04.
Fuente indirecta: Cestio, precio registrado para Mercadona; no confirmado directamente en tienda.
URL: https://cestio.es/mercadona/carne</t>
      </text>
    </comment>
    <comment ref="H69" authorId="1" shapeId="0">
      <text>
        <t>Producto consultado: Filete de cabeza de lomo de cerdo Carrefour 500 g aprox
Formato: 500 g
Precio de origen: 3.07 € por envase/pieza o formato publicado
Valor de la celda: 3.07 €/ud.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https://www.carrefour.es/supermercado/frescos/carne/cerdo/cat190011/c</t>
      </text>
    </comment>
    <comment ref="I69" authorId="1" shapeId="0">
      <text>
        <t>Producto consultado: CONSUM Filete Lomo de Cerdo
Formato: Envase/pieza publicado; ver nota
Precio de origen: 3.45 € por envase/pieza o formato publicado
Valor de la celda: 3.45 €/ud.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https://tienda.consum.es/es/c/frescos/carniceria/cerdo/2159</t>
      </text>
    </comment>
    <comment ref="E70" authorId="1" shapeId="0">
      <text>
        <t>Producto consultado: Lubina limpia
Formato: 0.4 kg
Precio de origen: 5.20 € por envase/pieza o formato publicado
Valor de la celda: 5.20 €/ud.
ud significa el envase, pack o pieza descrito; no una unidad interna del multipack.
Consultado: 04/10/2026. Fecha de registro de fuente: 2026-09-29.
Fuente indirecta: Cestio, precio registrado para Mercadona; no confirmado directamente en tienda.
URL: https://cestio.es/mercadona/marisco-y-pescado</t>
      </text>
    </comment>
    <comment ref="H70" authorId="1" shapeId="0">
      <text>
        <t>Producto consultado: Lubina 600 g aprox
Formato: 600 g
Precio de origen: 7.17 € por envase/pieza o formato publicado
Valor de la celda: 7.17 €/ud.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https://www.carrefour.es/supermercado/frescos/pescado-y-marisco/pescado-fresco/cat20125/c</t>
      </text>
    </comment>
    <comment ref="I70" authorId="1" shapeId="0">
      <text>
        <t>Producto consultado: Lubina Crianza de EspañaPieza precio aprox.
Formato: Envase/pieza publicado; ver nota
Precio de origen: 5.35 € por envase/pieza o formato publicado
Valor de la celda: 5.35 €/ud.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https://tienda.consum.es/es/c/frescos/pescaderia/pescado-blanco/4090</t>
      </text>
    </comment>
    <comment ref="G71" authorId="2" shapeId="0">
      <text>
        <t>Producto consultado: GOLDEN SEAFOOD Carne de mejillón (congelado), 250 g
Formato: 250 g
Precio de origen: 2.35 € por envase/pieza o formato publicado
Valor de la celda: 2.35 €/ud.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https://www.aldi.es/producto/carne-de-mejillon-601649700.html</t>
      </text>
    </comment>
    <comment ref="E72" authorId="1" shapeId="0">
      <text>
        <t>Producto consultado: Porciones de merluza
Formato: 0.313 kg
Precio de origen: 8.44 € por envase/pieza o formato publicado
Valor de la celda: 8.44 €/ud.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https://cestio.es/mercadona/marisco-y-pescado?page=1</t>
      </text>
    </comment>
    <comment ref="G72" authorId="2" shapeId="0">
      <text>
        <t>Producto consultado: GOLDEN SEAFOOD Rodajas de merluza (congelado), 600 g
Formato: 600 g
Precio de origen: 5.55 € por envase/pieza o formato publicado
Valor de la celda: 5.55 €/ud.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https://www.aldi.es/producto/rodajas-de-merluza-601643900.html</t>
      </text>
    </comment>
    <comment ref="I72" authorId="1" shapeId="0">
      <text>
        <t>Producto consultado: Merluza Entera o MitadesPieza precio aprox.
Formato: Envase/pieza publicado; ver nota
Precio de origen: 14.40 € por envase/pieza o formato publicado
Valor de la celda: 14.40 €/ud.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https://tienda.consum.es/es/c/frescos/pescaderia/pescado-blanco/4090</t>
      </text>
    </comment>
    <comment ref="E73" authorId="1" shapeId="0">
      <text>
        <t>Producto consultado: Jamoncitos de pollo
Formato: 0.92 kg
Precio de origen: 3.50 € por envase/pieza o formato publicado
Valor de la celda: 3.80 €/kg.
 Importe por kg calculado a partir del precio y cantidad registrados por Cestio; en piezas a peso es aproximado.
Consultado: 04/10/2026. Fecha de registro de fuente: 2026-10-04.
Fuente indirecta: Cestio, precio registrado para Mercadona; no confirmado directamente en tienda.
URL: https://cestio.es/mercadona/carne</t>
      </text>
    </comment>
    <comment ref="H73" authorId="1" shapeId="0">
      <text>
        <t>Producto consultado: Jamoncito de pollo ecológico Carrefour Bio 500 g aprox
Formato: 500 g
Precio de origen: 6.97 € por envase/pieza o formato publicado
Valor de la celda: 13.95 €/kg.
Consultado: 04/10/2026. Fecha de registro de fuente: 2026-10-04.
Fuente: web pública de Carrefour. La tienda, zona y disponibilidad pueden cambiar el precio.
URL: https://www.carrefour.es/supermercado/frescos/carne/cat20018/c</t>
      </text>
    </comment>
    <comment ref="E74" authorId="1" shapeId="0">
      <text>
        <t>Producto consultado: Filetes pechuga de pavo
Formato: 0.58 kg
Precio de origen: 4.90 € por envase/pieza o formato publicado
Valor de la celda: 4.90 €/ud.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https://cestio.es/mercadona/carne?page=1</t>
      </text>
    </comment>
    <comment ref="H74" authorId="1" shapeId="0">
      <text>
        <t>Producto consultado: Pechuga de pavo fileteada Carrefour 600 g aprox
Formato: 600 g
Precio de origen: 5.15 € por envase/pieza o formato publicado
Valor de la celda: 5.15 €/ud.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https://www.carrefour.es/supermercado/frescos/carne/aves-y-pollo/cat190012/c</t>
      </text>
    </comment>
    <comment ref="I74" authorId="1" shapeId="0">
      <text>
        <t>Producto consultado: CONSUM Pechuga de Pavo Fileteada
Formato: Envase/pieza publicado; ver nota
Precio de origen: 4.50 € por envase/pieza o formato publicado
Valor de la celda: 4.50 €/ud.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https://tienda.consum.es/es/c/frescos/carniceria/aves/2156</t>
      </text>
    </comment>
    <comment ref="E75" authorId="1" shapeId="0">
      <text>
        <t>Producto consultado: Pechugas enteras de pollo
Formato: 0.58 kg
Precio de origen: 3.86 € por envase/pieza o formato publicado
Valor de la celda: 6.66 €/kg.
 Importe por kg calculado a partir del precio y cantidad registrados por Cestio; en piezas a peso es aproximado.
Consultado: 04/10/2026. Fecha de registro de fuente: 2026-10-04.
Fuente indirecta: Cestio, precio registrado para Mercadona; no confirmado directamente en tienda.
URL: https://cestio.es/mercadona/carne</t>
      </text>
    </comment>
    <comment ref="G75" authorId="1" shapeId="0">
      <text>
        <t>Producto consultado: Pechuga de pollo formato familiar, 1 kg aprox.
Formato: 1 kg
Precio de origen: 5.49 € por envase/pieza o formato publicado
Valor de la celda: 5.49 €/kg.
Oferta del 2026-09-28 al 2026-10-04
Consultado: 04/10/2026. Fecha de registro de fuente: 2026-10-04.
Fuente: web pública de Aldi. La tienda, zona y disponibilidad pueden cambiar el precio.
URL: https://www.aldi.es/ofertas.html?cid=APP_aldi_es_stage</t>
      </text>
    </comment>
    <comment ref="H75" authorId="1" shapeId="0">
      <text>
        <t>Producto consultado: Pechuga de pollo Carrefour El Mercado 1,2 kg aprox
Formato: 1,2 kg
Precio de origen: 7.43 € por envase/pieza o formato publicado
Valor de la celda: 6.19 €/kg.
Consultado: 04/10/2026. Fecha de registro de fuente: 2026-10-04.
Fuente: web pública de Carrefour. La tienda, zona y disponibilidad pueden cambiar el precio.
URL: https://www.carrefour.es/supermercado/frescos/carne/aves-y-pollo/cat190012/c</t>
      </text>
    </comment>
    <comment ref="I75" authorId="1" shapeId="0">
      <text>
        <t>Producto consultado: CONSUM Pechuga de Pollo
Formato: Envase/pieza publicado; ver nota
Precio de origen: 5.56 € por envase/pieza o formato publicado
Valor de la celda: 6.95 €/kg.
Consultado: 04/10/2026. Fecha de registro de fuente: 2026-10-04.
Fuente: web pública de Consum. La tienda, zona y disponibilidad pueden cambiar el precio.
URL: https://tienda.consum.es/es/c/frescos/carniceria/aves/2156</t>
      </text>
    </comment>
    <comment ref="E76" authorId="1" shapeId="0">
      <text>
        <t>Producto consultado: Pollo entero
Formato: 1.9 kg
Precio de origen: 6.65 € por envase/pieza o formato publicado
Valor de la celda: 6.65 €/ud.
ud significa el envase, pack o pieza descrito; no una unidad interna del multipack.
Consultado: 04/10/2026. Fecha de registro de fuente: 2026-10-04.
Fuente indirecta: Cestio, precio registrado para Mercadona; no confirmado directamente en tienda.
URL: https://cestio.es/mercadona/carne</t>
      </text>
    </comment>
    <comment ref="E77" authorId="1" shapeId="0">
      <text>
        <t>Producto consultado: Salchichas cocidas de pollo Hacendado
Formato: 0.5 kg
Precio de origen: 1.75 € por envase/pieza o formato publicado
Valor de la celda: 1.75 €/ud.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G77" authorId="2" shapeId="0">
      <text>
        <t>Producto consultado: LA TABLA Salchichas frankfurt, 4 x 170 g
Formato: 4 x 170 g
Precio de origen: 1.73 € por envase/pieza o formato publicado
Valor de la celda: 1.73 €/ud.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https://www.aldi.es/producto/salchichas-frankfurt-800800.html</t>
      </text>
    </comment>
    <comment ref="I77" authorId="1" shapeId="0">
      <text>
        <t>Producto consultado: CONSUM Salchichas de Pavo 7 Unidades 3 x 140 Gr
Formato: 3 x 140 Gr
Precio de origen: 1.65 € por envase/pieza o formato publicado
Valor de la celda: 1.65 €/ud.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https://tienda.consum.es/es/c/frescos/charcuteria/salchichas/2050</t>
      </text>
    </comment>
    <comment ref="E78" authorId="1" shapeId="0">
      <text>
        <t>Producto consultado: Filete de salmón
Formato: 0.85 kg
Precio de origen: 16.15 € por envase/pieza o formato publicado
Valor de la celda: 16.15 €/ud.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https://cestio.es/mercadona/marisco-y-pescado?page=1</t>
      </text>
    </comment>
    <comment ref="G78" authorId="2" shapeId="0">
      <text>
        <t>Producto consultado: GOLDEN SEAFOOD Filete de salmón sin piel (congelado), 375 g
Formato: 375 g
Precio de origen: 7.99 € por envase/pieza o formato publicado
Valor de la celda: 7.99 €/ud.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https://www.aldi.es/producto/filete-de-salmon-sin-piel-601939800.html</t>
      </text>
    </comment>
    <comment ref="H78" authorId="1" shapeId="0">
      <text>
        <t>Producto consultado: Salmón 3 kg aprox
Formato: 3 kg
Precio de origen: 31.77 € por envase/pieza o formato publicado
Valor de la celda: 31.77 €/ud.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https://www.carrefour.es/supermercado/frescos/pescado-y-marisco/pescado-fresco/cat20125/c</t>
      </text>
    </comment>
    <comment ref="E79" authorId="1" shapeId="0">
      <text>
        <t>Producto consultado: Sardina sin limpiar
Formato: 0.4 kg
Precio de origen: 2.80 € por envase/pieza o formato publicado
Valor de la celda: 2.80 €/ud.
ud significa el envase, pack o pieza descrito; no una unidad interna del multipack.
Consultado: 04/10/2026. Fecha de registro de fuente: 2026-09-29.
Fuente indirecta: Cestio, precio registrado para Mercadona; no confirmado directamente en tienda.
URL: https://cestio.es/mercadona/marisco-y-pescado</t>
      </text>
    </comment>
    <comment ref="H79" authorId="1" shapeId="0">
      <text>
        <t>Producto consultado: Sardinas 1 kg aprox
Formato: 1 kg
Precio de origen: 5.95 € por envase/pieza o formato publicado
Valor de la celda: 5.95 €/ud.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https://www.carrefour.es/supermercado/frescos/pescado-y-marisco/pescado-fresco/cat20125/c</t>
      </text>
    </comment>
    <comment ref="I79" authorId="1" shapeId="0">
      <text>
        <t>Producto consultado: Sardina
Formato: Envase/pieza publicado; ver nota
Precio de origen: 6.95 € por envase/pieza o formato publicado
Valor de la celda: 6.95 €/ud.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https://tienda.consum.es/es/c/frescos/pescaderia/pescado-azul/4089</t>
      </text>
    </comment>
    <comment ref="E81" authorId="1" shapeId="0">
      <text>
        <t>Producto consultado: Sepia Faraónica
Formato: 0.51 kg
Precio de origen: 8.64 € por envase/pieza o formato publicado
Valor de la celda: 8.64 €/ud.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https://cestio.es/mercadona/marisco-y-pescado?page=1</t>
      </text>
    </comment>
    <comment ref="G81" authorId="2" shapeId="0">
      <text>
        <t>Producto consultado: FLETE Sepia limpia (congelado), 400 g
Formato: 400 g
Precio de origen: 4.99 € por envase/pieza o formato publicado
Valor de la celda: 4.99 €/ud.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https://www.aldi.es/producto/sepia-limpia-670900.html</t>
      </text>
    </comment>
    <comment ref="I81" authorId="1" shapeId="0">
      <text>
        <t>Producto consultado: Sepia LimpiaPieza precio aprox.
Formato: Envase/pieza publicado; ver nota
Precio de origen: 8.26 € por envase/pieza o formato publicado
Valor de la celda: 8.26 €/ud.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https://tienda.consum.es/es/c/frescos/pescaderia/calamar-sepia/4091</t>
      </text>
    </comment>
    <comment ref="E82" authorId="1" shapeId="0">
      <text>
        <t>Producto consultado: Bacón Hacendado cintas
Formato: 0.26 kg
Precio de origen: 1.95 € por envase/pieza o formato publicado
Valor de la celda: 1.95 €/ud.
ud significa el envase, pack o pieza descrito; no una unidad interna del multipack.
Consultado: 04/10/2026. Fecha de registro de fuente: 2026-09-25.
Fuente indirecta: Cestio, precio registrado para Mercadona; no confirmado directamente en tienda.
URL: https://cestio.es/mercadona/charcuteria-y-quesos?page=1</t>
      </text>
    </comment>
    <comment ref="G82" authorId="2" shapeId="0">
      <text>
        <t>Producto consultado: LA TABLA Bacon ahumado, 2 x 125 g
Formato: 2 x 125 g
Precio de origen: 1.86 € por envase/pieza o formato publicado
Valor de la celda: 1.86 €/ud.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https://www.aldi.es/producto/bacon-ahumado-803600.html</t>
      </text>
    </comment>
    <comment ref="H82" authorId="1" shapeId="0">
      <text>
        <t>Producto consultado: Bacon en lonchas Carrefour El Mercado sin gluten 200 g
Formato: 200 g
Precio de origen: 2.15 € por envase/pieza o formato publicado
Valor de la celda: 2.15 €/ud.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https://www.carrefour.es/supermercado/frescos/charcuteria/cat20017/c</t>
      </text>
    </comment>
    <comment ref="I82" authorId="1" shapeId="0">
      <text>
        <t>Producto consultado: MONELLS Cintas de Bacón 2 x 100 Gr
Formato: 2 x 100 Gr
Precio de origen: 1.90 € por envase/pieza o formato publicado
Valor de la celda: 1.90 €/ud.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https://tienda.consum.es/es/c/frescos/charcuteria/2005</t>
      </text>
    </comment>
    <comment ref="E83" authorId="1" shapeId="0">
      <text>
        <t>Producto consultado: Chorizo oreado
Formato: 0.36 kg
Precio de origen: 2.57 € por envase/pieza o formato publicado
Valor de la celda: 2.57 €/ud.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https://cestio.es/mercadona/carne?page=1</t>
      </text>
    </comment>
    <comment ref="G83" authorId="2" shapeId="0">
      <text>
        <t>Producto consultado: LA TABLA Chorizo extra loncheado, 240 g
Formato: 240 g
Precio de origen: 1.75 € por envase/pieza o formato publicado
Valor de la celda: 1.75 €/ud.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https://www.aldi.es/producto/chorizo-extra-loncheado-601445700.html</t>
      </text>
    </comment>
    <comment ref="I83" authorId="1" shapeId="0">
      <text>
        <t>Producto consultado: CONSUM Chorizo Extra 280 Gr
Formato: 280 Gr
Precio de origen: 2.49 € por envase/pieza o formato publicado
Valor de la celda: 2.49 €/ud.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https://tienda.consum.es/es/c/frescos/charcuteria/embutidos/5176</t>
      </text>
    </comment>
    <comment ref="E84" authorId="1" shapeId="0">
      <text>
        <t>Producto consultado: Fuet espetec Hacendado
Formato: 0.24 kg
Precio de origen: 2.50 € por envase/pieza o formato publicado
Valor de la celda: 2.50 €/ud.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G84" authorId="2" shapeId="0">
      <text>
        <t>Producto consultado: LA TABLA Fuet extra, 175 g
Formato: 175 g
Precio de origen: 1.79 € por envase/pieza o formato publicado
Valor de la celda: 1.79 €/ud.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https://www.aldi.es/producto/fuet-extra-814600.html</t>
      </text>
    </comment>
    <comment ref="I84" authorId="1" shapeId="0">
      <text>
        <t>Producto consultado: TARRADELLAS Fuet Espetec 180 Gr
Formato: 180 Gr
Precio de origen: 2.49 € por envase/pieza o formato publicado
Valor de la celda: 2.49 €/ud.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https://tienda.consum.es/es/c/frescos/charcuteria/embutidos/5176</t>
      </text>
    </comment>
    <comment ref="E85" authorId="1" shapeId="0">
      <text>
        <t>Producto consultado: Jamón cocido jugoso Hacendado lonchas
Formato: 0.25 kg
Precio de origen: 1.95 € por envase/pieza o formato publicado
Valor de la celda: 1.95 €/ud.
ud significa el envase, pack o pieza descrito; no una unidad interna del multipack.
Consultado: 04/10/2026. Fecha de registro de fuente: 2026-09-25.
Fuente indirecta: Cestio, precio registrado para Mercadona; no confirmado directamente en tienda.
URL: https://cestio.es/mercadona/charcuteria-y-quesos?page=1</t>
      </text>
    </comment>
    <comment ref="G85" authorId="2" shapeId="0">
      <text>
        <t>Producto consultado: LA TABLA Jamón cocido extra, 200 g
Formato: 200 g
Precio de origen: 1.95 € por envase/pieza o formato publicado
Valor de la celda: 1.95 €/ud.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https://www.aldi.es/producto/jamon-cocido-extra-601447200.html</t>
      </text>
    </comment>
    <comment ref="I85" authorId="1" shapeId="0">
      <text>
        <t>Producto consultado: CONSUM Jamón Cocido Extra 200 Gr
Formato: 200 Gr
Precio de origen: 2.05 € por envase/pieza o formato publicado
Valor de la celda: 2.05 €/ud.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https://tienda.consum.es/es/c/frescos/charcuteria/2005</t>
      </text>
    </comment>
    <comment ref="E86" authorId="1" shapeId="0">
      <text>
        <t>Producto consultado: Jamón serrano Incarlopsa
Formato: 7.5 kg
Precio de origen: 65.00 € por envase/pieza o formato publicado
Valor de la celda: 65.00 €/ud.
ud significa el envase, pack o pieza descrito; no una unidad interna del multipack.
Consultado: 04/10/2026. Fecha de registro de fuente: 2026-09-25.
Fuente indirecta: Cestio, precio registrado para Mercadona; no confirmado directamente en tienda.
URL: https://cestio.es/mercadona/charcuteria-y-quesos?page=1</t>
      </text>
    </comment>
    <comment ref="G86" authorId="2" shapeId="0">
      <text>
        <t>Producto consultado: LA TABLA Jamón serrano, 180 g
Formato: 180 g
Precio de origen: 2.99 € por envase/pieza o formato publicado
Valor de la celda: 2.99 €/ud.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https://www.aldi.es/producto/jamon-serrano-865600.html</t>
      </text>
    </comment>
    <comment ref="I86" authorId="1" shapeId="0">
      <text>
        <t>Producto consultado: BOADAS Jamón Serrano Reserva Como Cortado a Mano 80 Gr
Formato: 80 Gr
Precio de origen: 2.99 € por envase/pieza o formato publicado
Valor de la celda: 2.99 €/ud.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https://tienda.consum.es/es/c/frescos/charcuteria/curado/2012</t>
      </text>
    </comment>
    <comment ref="G87" authorId="2" shapeId="0">
      <text>
        <t>Producto consultado: LA TABLA Lomo embuchado, 2 x 75 g
Formato: 2 x 75 g
Precio de origen: 2.49 € por envase/pieza o formato publicado
Valor de la celda: 2.49 €/ud.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https://www.aldi.es/producto/lomo-embuchado-601671100.html</t>
      </text>
    </comment>
    <comment ref="I87" authorId="1" shapeId="0">
      <text>
        <t>Producto consultado: NAVIDUL Caña Lomo en Lonchas 40 Gr
Formato: 40 Gr
Precio de origen: 1.20 € por envase/pieza o formato publicado
Valor de la celda: 1.20 €/ud.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https://tienda.consum.es/es/c/frescos/charcuteria/embutidos/5176</t>
      </text>
    </comment>
    <comment ref="E88" authorId="1" shapeId="0">
      <text>
        <t>Producto consultado: Mortadela Hacendado lonchas
Formato: 0.25 kg
Precio de origen: 1.25 € por envase/pieza o formato publicado
Valor de la celda: 1.25 €/ud.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G88" authorId="2" shapeId="0">
      <text>
        <t>Producto consultado: LA TABLA Mortadela de Bolonia, 150 g
Formato: 150 g
Precio de origen: 1.35 € por envase/pieza o formato publicado
Valor de la celda: 1.35 €/ud.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https://www.aldi.es/producto/mortadela-de-bolonia-79800.html</t>
      </text>
    </comment>
    <comment ref="E89" authorId="1" shapeId="0">
      <text>
        <t>Producto consultado: Mozzarella fresca de vaca Hacendado
Formato: 0.25 kg
Precio de origen: 0.90 € por envase/pieza o formato publicado
Valor de la celda: 0.90 €/ud.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G89" authorId="2" shapeId="0">
      <text>
        <t>Producto consultado: CUCINA Mozzarella, 125 g
Formato: 125 g
Precio de origen: 0.85 € por envase/pieza o formato publicado
Valor de la celda: 0.85 €/ud.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https://www.aldi.es/producto/mozzarella-730200.html</t>
      </text>
    </comment>
    <comment ref="H89" authorId="1" shapeId="0">
      <text>
        <t>Producto consultado: Queso mozzarella Italiana Carrefour 125 g.
Formato: 125 g
Precio de origen: 0.90 € por envase/pieza o formato publicado
Valor de la celda: 0.90 €/ud.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https://www.carrefour.es/supermercado/frescos/quesos/queso-fresco/cat20169/c</t>
      </text>
    </comment>
    <comment ref="I89" authorId="1" shapeId="0">
      <text>
        <t>Producto consultado: GALBANI Mozzarella 100 Gr
Formato: 100 Gr
Precio de origen: 1.00 € por envase/pieza o formato publicado
Valor de la celda: 1.00 €/ud.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https://tienda.consum.es/es/c/frescos/quesos/frescos-para-ensaladas/2033</t>
      </text>
    </comment>
    <comment ref="G90" authorId="2" shapeId="0">
      <text>
        <t>Producto consultado: CUCINA NOBILE Queso grana padano, 200 g
Formato: 200 g
Precio de origen: 3.09 € por envase/pieza o formato publicado
Valor de la celda: 3.09 €/ud.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https://www.aldi.es/producto/queso-grana-padano-600471400.html</t>
      </text>
    </comment>
    <comment ref="I90" authorId="1" shapeId="0">
      <text>
        <t>Producto consultado: FERRARINI Queso Rallado Parmigiano Reggiano 60 Gr
Formato: 60 Gr
Precio de origen: 2.15 € por envase/pieza o formato publicado
Valor de la celda: 2.15 €/ud.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https://tienda.consum.es/es/c/frescos/quesos/rallados/2040</t>
      </text>
    </comment>
    <comment ref="E91" authorId="1" shapeId="0">
      <text>
        <t>Producto consultado: Pavo cocido Hacendado finas lonchas
Formato: 0.4 kg
Precio de origen: 3.45 € por envase/pieza o formato publicado
Valor de la celda: 3.45 €/ud.
ud significa el envase, pack o pieza descrito; no una unidad interna del multipack.
Consultado: 04/10/2026. Fecha de registro de fuente: 2026-09-25.
Fuente indirecta: Cestio, precio registrado para Mercadona; no confirmado directamente en tienda.
URL: https://cestio.es/mercadona/charcuteria-y-quesos?page=1</t>
      </text>
    </comment>
    <comment ref="G91" authorId="2" shapeId="0">
      <text>
        <t>Producto consultado: LA TABLA Pechuga de pavo, 150 g
Formato: 150 g
Precio de origen: 2.35 € por envase/pieza o formato publicado
Valor de la celda: 2.35 €/ud.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https://www.aldi.es/producto/pechuga-de-pavo-57600.html</t>
      </text>
    </comment>
    <comment ref="I91" authorId="1" shapeId="0">
      <text>
        <t>Producto consultado: CONSUM Pechuga de Pavo Finas Lonchas 200 Gr
Formato: 200 Gr
Precio de origen: 2.30 € por envase/pieza o formato publicado
Valor de la celda: 2.30 €/ud.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https://tienda.consum.es/es/c/frescos/charcuteria/2005</t>
      </text>
    </comment>
    <comment ref="E92" authorId="1" shapeId="0">
      <text>
        <t>Producto consultado: Queso en porciones Hacendado
Formato: 0.375 kg
Precio de origen: 1.95 € por envase/pieza o formato publicado
Valor de la celda: 1.95 €/ud.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I92" authorId="1" shapeId="0">
      <text>
        <t>Producto consultado: EL CASERIO Queso Fundido Porciones 250 Gr
Formato: 250 Gr
Precio de origen: 3.15 € por envase/pieza o formato publicado
Valor de la celda: 3.15 €/ud.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https://tienda.consum.es/es/c/frescos/quesos/2019</t>
      </text>
    </comment>
    <comment ref="E93" authorId="1" shapeId="0">
      <text>
        <t>Producto consultado: Queso curado cheddar Hacendado
Formato: 0.3 kg
Precio de origen: 2.85 € por envase/pieza o formato publicado
Valor de la celda: 2.85 €/ud.
ud significa el envase, pack o pieza descrito; no una unidad interna del multipack.
Consultado: 04/10/2026. Fecha de registro de fuente: 2026-09-25.
Fuente indirecta: Cestio, precio registrado para Mercadona; no confirmado directamente en tienda.
URL: https://cestio.es/mercadona/charcuteria-y-quesos?page=1</t>
      </text>
    </comment>
    <comment ref="G93" authorId="2" shapeId="0">
      <text>
        <t>Producto consultado: LA TABLA Queso curado, 880 g
Formato: 880 g
Precio de origen: 9.79 € por envase/pieza o formato publicado
Valor de la celda: 9.79 €/ud.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https://www.aldi.es/producto/queso-curado-730800.html</t>
      </text>
    </comment>
    <comment ref="I93" authorId="1" shapeId="0">
      <text>
        <t>Producto consultado: CONSUM Queso Curado Mezcla Cuña
Formato: Envase/pieza publicado; ver nota
Precio de origen: 3.72 € por envase/pieza o formato publicado
Valor de la celda: 3.72 €/ud.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https://tienda.consum.es/es/c/frescos/quesos/cuna-curado/5200</t>
      </text>
    </comment>
    <comment ref="G94" authorId="2" shapeId="0">
      <text>
        <t>Producto consultado: MILSANI Queso de cabra, 180 g
Formato: 180 g
Precio de origen: 2.29 € por envase/pieza o formato publicado
Valor de la celda: 2.29 €/ud.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https://www.aldi.es/producto/queso-de-cabra-731900.html</t>
      </text>
    </comment>
    <comment ref="I94" authorId="1" shapeId="0">
      <text>
        <t>Producto consultado: PRESIDENT Queso Cabra Rulo Unidad 180 Gr
Formato: 180 Gr
Precio de origen: 3.75 € por envase/pieza o formato publicado
Valor de la celda: 3.75 €/ud.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https://tienda.consum.es/es/c/frescos/quesos/pasta-blanda-cabra/5201</t>
      </text>
    </comment>
    <comment ref="E95" authorId="1" shapeId="0">
      <text>
        <t>Producto consultado: Queso untar suave de vaca Hacendado
Formato: 0.3 kg
Precio de origen: 1.40 € por envase/pieza o formato publicado
Valor de la celda: 1.40 €/ud.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G95" authorId="2" shapeId="0">
      <text>
        <t>Producto consultado: MILSANI Queso cremoso para untar, 300 g
Formato: 300 g
Precio de origen: 1.39 € por envase/pieza o formato publicado
Valor de la celda: 1.39 €/ud.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https://www.aldi.es/producto/queso-cremoso-para-untar-737700.html</t>
      </text>
    </comment>
    <comment ref="H95" authorId="1" shapeId="0">
      <text>
        <t>Producto consultado: Queso de untar clásico Carrefour Classic 300 g.
Formato: 300 g
Precio de origen: 1.40 € por envase/pieza o formato publicado
Valor de la celda: 1.40 €/ud.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https://www.carrefour.es/supermercado/frescos/quesos/crema-de-queso/cat690003/c</t>
      </text>
    </comment>
    <comment ref="I95" authorId="1" shapeId="0">
      <text>
        <t>Producto consultado: CONSUM Queso Untar Natural Tarrina 250 Gr
Formato: 250 Gr
Precio de origen: 1.28 € por envase/pieza o formato publicado
Valor de la celda: 1.28 €/ud.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https://tienda.consum.es/es/c/frescos/quesos/para-untar/2038</t>
      </text>
    </comment>
    <comment ref="E96" authorId="1" shapeId="0">
      <text>
        <t>Producto consultado: Queso lonchas gouda de vaca Hacendado
Formato: 0.3 kg
Precio de origen: 1.95 € por envase/pieza o formato publicado
Valor de la celda: 1.95 €/ud.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G96" authorId="2" shapeId="0">
      <text>
        <t>Producto consultado: MILSANI Lonchas de queso de vaca, 200 g
Formato: 200 g
Precio de origen: 1.59 € por envase/pieza o formato publicado
Valor de la celda: 1.59 €/ud.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https://www.aldi.es/producto/lonchas-de-queso-de-vaca-953400.html</t>
      </text>
    </comment>
    <comment ref="H96" authorId="1" shapeId="0">
      <text>
        <t>Producto consultado: Queso gouda tierno en lonchas Carrefour Classic 300 g.
Formato: 300 g
Precio de origen: 1.87 € por envase/pieza o formato publicado
Valor de la celda: 1.87 €/ud.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https://www.carrefour.es/supermercado/frescos/quesos/cat20020/c</t>
      </text>
    </comment>
    <comment ref="I96" authorId="1" shapeId="0">
      <text>
        <t>Producto consultado: G.BAQUERO Queso Lonchas Cremosas 80 Gr
Formato: 80 Gr
Precio de origen: 1.49 € por envase/pieza o formato publicado
Valor de la celda: 1.49 €/ud.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https://tienda.consum.es/es/c/frescos/quesos/en-lonchas/5203</t>
      </text>
    </comment>
    <comment ref="E97" authorId="1" shapeId="0">
      <text>
        <t>Producto consultado: Queso fresco de vaca Hacendado
Formato: 0.25 kg
Precio de origen: 1.60 € por envase/pieza o formato publicado
Valor de la celda: 1.60 €/ud.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G97" authorId="2" shapeId="0">
      <text>
        <t>Producto consultado: MILSANI Queso fresco burgos, 250 g
Formato: 250 g
Precio de origen: 1.09 € por envase/pieza o formato publicado
Valor de la celda: 1.09 €/ud.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https://www.aldi.es/producto/queso-fresco-burgos-601416800.html</t>
      </text>
    </comment>
    <comment ref="H97" authorId="1" shapeId="0">
      <text>
        <t>Producto consultado: Queso fresco Carrefour Classic 500 g
Formato: 500 g
Precio de origen: 2.05 € por envase/pieza o formato publicado
Valor de la celda: 2.05 €/ud.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https://www.carrefour.es/supermercado/frescos/quesos/queso-fresco/cat20169/c</t>
      </text>
    </comment>
    <comment ref="I97" authorId="1" shapeId="0">
      <text>
        <t>Producto consultado: CONSUM Queso Fresco Tradicional Tarrina 250 Gr
Formato: 250 Gr
Precio de origen: 2.54 € por envase/pieza o formato publicado
Valor de la celda: 2.54 €/ud.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https://tienda.consum.es/es/c/frescos/quesos/frescos-para-ensaladas/2033</t>
      </text>
    </comment>
    <comment ref="E98" authorId="1" shapeId="0">
      <text>
        <t>Producto consultado: Queso rallado 4 quesos Hacendado
Formato: 0.2 kg
Precio de origen: 1.75 € por envase/pieza o formato publicado
Valor de la celda: 1.75 €/ud.
ud significa el envase, pack o pieza descrito; no una unidad interna del multipack.
Consultado: 04/10/2026. Fecha de registro de fuente: 2026-09-25.
Fuente indirecta: Cestio, precio registrado para Mercadona; no confirmado directamente en tienda.
URL: https://cestio.es/mercadona/charcuteria-y-quesos?page=1</t>
      </text>
    </comment>
    <comment ref="G98" authorId="2" shapeId="0">
      <text>
        <t>Producto consultado: MILSANI Queso rallado especial para fundir, 400 g
Formato: 400 g
Precio de origen: 1.90 € por envase/pieza o formato publicado
Valor de la celda: 1.90 €/ud.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https://www.aldi.es/producto/queso-rallado-especial-para-fundir-601415200.html</t>
      </text>
    </comment>
    <comment ref="H98" authorId="1" shapeId="0">
      <text>
        <t>Producto consultado: Queso rallado cuatro quesos Carrefour 200 g.
Formato: 200 g
Precio de origen: 2.05 € por envase/pieza o formato publicado
Valor de la celda: 2.05 €/ud.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https://www.carrefour.es/supermercado/frescos/quesos/cat20020/c</t>
      </text>
    </comment>
    <comment ref="I98" authorId="1" shapeId="0">
      <text>
        <t>Producto consultado: CONSUM Queso Rallado Gouda 200 Gr
Formato: 200 Gr
Precio de origen: 1.69 € por envase/pieza o formato publicado
Valor de la celda: 1.69 €/ud.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https://tienda.consum.es/es/c/frescos/quesos/rallados/2040</t>
      </text>
    </comment>
    <comment ref="E99" authorId="1" shapeId="0">
      <text>
        <t>Producto consultado: Queso semicurado mezcla Hacendado
Formato: 0.42 kg
Precio de origen: 4.07 € por envase/pieza o formato publicado
Valor de la celda: 4.07 €/ud.
ud significa el envase, pack o pieza descrito; no una unidad interna del multipack.
Consultado: 04/10/2026. Fecha de registro de fuente: 2026-09-25.
Fuente indirecta: Cestio, precio registrado para Mercadona; no confirmado directamente en tienda.
URL: https://cestio.es/mercadona/charcuteria-y-quesos?page=1</t>
      </text>
    </comment>
    <comment ref="G99" authorId="2" shapeId="0">
      <text>
        <t>Producto consultado: MILSANI Queso semicurado, 200 g
Formato: 200 g
Precio de origen: 2.29 € por envase/pieza o formato publicado
Valor de la celda: 2.29 €/ud.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https://www.aldi.es/producto/queso-semicurado-733000.html</t>
      </text>
    </comment>
    <comment ref="I99" authorId="1" shapeId="0">
      <text>
        <t>Producto consultado: CARMEN Queso Cabra Semicurado 200 Gr
Formato: 200 Gr
Precio de origen: 5.25 € por envase/pieza o formato publicado
Valor de la celda: 5.25 €/ud.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https://tienda.consum.es/es/c/frescos/quesos/pasta-blanda-cabra/5201</t>
      </text>
    </comment>
    <comment ref="E100" authorId="1" shapeId="0">
      <text>
        <t>Producto consultado: Salchichón extra Hacendado lonchas
Formato: 0.24 kg
Precio de origen: 1.75 € por envase/pieza o formato publicado
Valor de la celda: 1.75 €/ud.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G100" authorId="2" shapeId="0">
      <text>
        <t>Producto consultado: LA TABLA Salchichón de León extra, 100 g
Formato: 100 g
Precio de origen: 1.69 € por envase/pieza o formato publicado
Valor de la celda: 1.69 €/ud.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https://www.aldi.es/producto/salchichon-de-leon-extra-807903.html</t>
      </text>
    </comment>
    <comment ref="I100" authorId="1" shapeId="0">
      <text>
        <t>Producto consultado: CONSUM Salchichón Extra Lonchas 4 x 60 Gr
Formato: 4 x 60 Gr
Precio de origen: 1.75 € por envase/pieza o formato publicado
Valor de la celda: 1.75 €/ud.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https://tienda.consum.es/es/c/frescos/charcuteria/embutidos/5176</t>
      </text>
    </comment>
    <comment ref="E101" authorId="1" shapeId="0">
      <text>
        <t>Producto consultado: Batido de chocolate Hacendado
Formato: 1 l
Precio de origen: 1.30 € por envase/pieza o formato publicado
Valor de la celda: 1.30 €/ud.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https://cestio.es/mercadona/huevos-leche-y-mantequilla?page=1</t>
      </text>
    </comment>
    <comment ref="G101" authorId="2" shapeId="0">
      <text>
        <t>Producto consultado: MILSANI Batido de chocolate, 6 x 200 ml
Formato: 6 x 200 ml
Precio de origen: 1.55 € por envase/pieza o formato publicado
Valor de la celda: 1.55 €/ud.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https://www.aldi.es/producto/batido-de-chocolate-601202000.html</t>
      </text>
    </comment>
    <comment ref="E102" authorId="1" shapeId="0">
      <text>
        <t>Producto consultado: Bebida de avena Alitey
Formato: 1 l
Precio de origen: 0.95 € por envase/pieza o formato publicado
Valor de la celda: 0.95 €/l.
 Importe por l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https://cestio.es/mercadona/huevos-leche-y-mantequilla</t>
      </text>
    </comment>
    <comment ref="G102" authorId="2" shapeId="0">
      <text>
        <t>Producto consultado: GUTBIO Bebida de avena ecológica, 1 l
Formato: 1 l
Precio de origen: 1.69 € por envase/pieza o formato publicado
Valor de la celda: 1.69 €/ud.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https://www.aldi.es/producto/bebida-de-avena-ecologica-381300.html</t>
      </text>
    </comment>
    <comment ref="I102" authorId="1" shapeId="0">
      <text>
        <t>Producto consultado: YOSOY Bebida de Avena Brik 1 L
Formato: 1 L
Precio de origen: 1.65 € por envase/pieza o formato publicado
Valor de la celda: 1.65 €/l.
Consultado: 04/10/2026. Fecha de registro de fuente: 2026-10-04.
Fuente: web pública de Consum. La tienda, zona y disponibilidad pueden cambiar el precio.
URL: https://tienda.consum.es/es/c/despensa/lacteos-huevos/bebidas-vegetales/2091</t>
      </text>
    </comment>
    <comment ref="E103" authorId="1" shapeId="0">
      <text>
        <t>Producto consultado: Bebida de soja 0% azúcar Hacendado
Formato: 1 l
Precio de origen: 0.75 € por envase/pieza o formato publicado
Valor de la celda: 0.75 €/l.
 Importe por l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https://cestio.es/mercadona/huevos-leche-y-mantequilla</t>
      </text>
    </comment>
    <comment ref="G103" authorId="2" shapeId="0">
      <text>
        <t>Producto consultado: MYVAY Bebida de soja, 1 l
Formato: 1 l
Precio de origen: 0.62 € por envase/pieza o formato publicado
Valor de la celda: 0.62 €/ud.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https://www.aldi.es/producto/bebida-de-soja-380700.html</t>
      </text>
    </comment>
    <comment ref="I103" authorId="1" shapeId="0">
      <text>
        <t>Producto consultado: CONSUM Bebida de Soja sin Azúcares Añadidos Brik 1 L
Formato: 1 L
Precio de origen: 0.75 € por envase/pieza o formato publicado
Valor de la celda: 0.75 €/l.
Consultado: 04/10/2026. Fecha de registro de fuente: 2026-10-04.
Fuente: web pública de Consum. La tienda, zona y disponibilidad pueden cambiar el precio.
URL: https://tienda.consum.es/es/c/despensa/lacteos-huevos/bebidas-vegetales/2091</t>
      </text>
    </comment>
    <comment ref="E104" authorId="1" shapeId="0">
      <text>
        <t>Producto consultado: Flan de huevo Hacendado
Formato: 0.4 kg
Precio de origen: 1.60 € por envase/pieza o formato publicado
Valor de la celda: 1.60 €/ud.
ud significa el envase, pack o pieza descrito; no una unidad interna del multipack.
Consultado: 04/10/2026. Fecha de registro de fuente: 2026-09-26.
Fuente indirecta: Cestio, precio registrado para Mercadona; no confirmado directamente en tienda.
URL: https://cestio.es/mercadona/postres-y-yogures?page=1</t>
      </text>
    </comment>
    <comment ref="G104" authorId="2" shapeId="0">
      <text>
        <t>Producto consultado: MILSANI Flan de huevo, 4 x 100 g
Formato: 4 x 100 g
Precio de origen: 1.55 € por envase/pieza o formato publicado
Valor de la celda: 1.55 €/ud.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https://www.aldi.es/producto/flan-de-huevo-686000.html</t>
      </text>
    </comment>
    <comment ref="I104" authorId="1" shapeId="0">
      <text>
        <t>Producto consultado: CONSUM Flan Huevo Baño María Pack de 4 Unidades 4 x 100 Gr
Formato: 4 x 100 Gr
Precio de origen: 1.60 € por envase/pieza o formato publicado
Valor de la celda: 1.60 €/ud.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https://tienda.consum.es/es/c/despensa/lacteos-huevos/postres/flanes/2106</t>
      </text>
    </comment>
    <comment ref="E105" authorId="1" shapeId="0">
      <text>
        <t>Producto consultado: Huevos grandes L
Formato: 12 huevos L
Precio de origen: 3.05 € por envase/pieza o formato publicado
Valor de la celda: 3.05 €/ud.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https://cestio.es/mercadona/huevos-leche-y-mantequilla?page=1</t>
      </text>
    </comment>
    <comment ref="I105" authorId="1" shapeId="0">
      <text>
        <t>Producto consultado: MONTERDE Huevos L Grandes Docena 1 Dc
Formato: 12 huevos L
Precio de origen: 3.05 € por envase/pieza o formato publicado
Valor de la celda: 3.05 €/ud.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https://tienda.consum.es/es/c/despensa/lacteos-huevos/huevos/2065</t>
      </text>
    </comment>
    <comment ref="E106" authorId="1" shapeId="0">
      <text>
        <t>Producto consultado: Kéfir natural sabor suave
Formato: 0.5 kg
Precio de origen: 1.10 € por envase/pieza o formato publicado
Valor de la celda: 1.10 €/ud.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https://cestio.es/mercadona/postres-y-yogures</t>
      </text>
    </comment>
    <comment ref="G106" authorId="2" shapeId="0">
      <text>
        <t>Producto consultado: GUTBIO Kéfir ecológico natural, 500 ml
Formato: 500 ml
Precio de origen: 1.69 € por envase/pieza o formato publicado
Valor de la celda: 1.69 €/ud.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https://www.aldi.es/producto/kefir-ecologico-natural-902701.html</t>
      </text>
    </comment>
    <comment ref="H106" authorId="1" shapeId="0">
      <text>
        <t>Producto consultado: Kéfir natural Carrefour Sensation 500 g.
Formato: 500 g
Precio de origen: 1.10 € por envase/pieza o formato publicado
Valor de la celda: 1.10 €/ud.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https://www.carrefour.es/supermercado/la-despensa/yogures-y-postres/cat390008/c</t>
      </text>
    </comment>
    <comment ref="I106" authorId="1" shapeId="0">
      <text>
        <t>Producto consultado: NESTLE Kéfir Natural 500 Gr
Formato: 500 Gr
Precio de origen: 1.00 € por envase/pieza o formato publicado
Valor de la celda: 1.00 €/ud.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https://tienda.consum.es/es/c/despensa/lacteos-huevos/yogures/2123</t>
      </text>
    </comment>
    <comment ref="E107" authorId="1" shapeId="0">
      <text>
        <t>Producto consultado: Leche desnatada Hacendado
Formato: 1 l
Precio de origen: 0.81 € por envase/pieza o formato publicado
Valor de la celda: 0.81 €/l.
 Importe por l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https://cestio.es/mercadona/huevos-leche-y-mantequilla</t>
      </text>
    </comment>
    <comment ref="G107" authorId="2" shapeId="0">
      <text>
        <t>Producto consultado: MILSANI Leche desnatada, 1 l
Formato: 1 l
Precio de origen: 0.82 € por envase/pieza o formato publicado
Valor de la celda: 0.82 €/ud.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https://www.aldi.es/producto/leche-desnatada-81000.html</t>
      </text>
    </comment>
    <comment ref="H107" authorId="1" shapeId="0">
      <text>
        <t>Producto consultado: Leche desnatada Carrefour brik 1 l.
Formato: 1 l
Precio de origen: 0.82 € por envase/pieza o formato publicado
Valor de la celda: 0.82 €/l.
Consultado: 04/10/2026. Fecha de registro de fuente: 2026-10-04.
Fuente: web pública de Carrefour. La tienda, zona y disponibilidad pueden cambiar el precio.
URL: https://www.carrefour.es/supermercado/la-despensa/lacteos/leche/cat20093/c</t>
      </text>
    </comment>
    <comment ref="I107" authorId="1" shapeId="0">
      <text>
        <t>Producto consultado: CONSUM Leche Desnatada Brik 1 L
Formato: 1 L
Precio de origen: 0.82 € por envase/pieza o formato publicado
Valor de la celda: 0.82 €/l.
Consultado: 04/10/2026. Fecha de registro de fuente: 2026-10-04.
Fuente: web pública de Consum. La tienda, zona y disponibilidad pueden cambiar el precio.
URL: https://tienda.consum.es/es/c/despensa/lacteos-huevos/leche/desnatada/2074</t>
      </text>
    </comment>
    <comment ref="E108" authorId="1" shapeId="0">
      <text>
        <t>Producto consultado: Leche entera Hacendado
Formato: 1 l
Precio de origen: 0.96 € por envase/pieza o formato publicado
Valor de la celda: 0.96 €/l.
 Importe por l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https://cestio.es/mercadona/huevos-leche-y-mantequilla</t>
      </text>
    </comment>
    <comment ref="G108" authorId="2" shapeId="0">
      <text>
        <t>Producto consultado: MILSANI Leche entera, 1 l
Formato: 1 l
Precio de origen: 0.96 € por envase/pieza o formato publicado
Valor de la celda: 0.96 €/ud.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https://www.aldi.es/producto/leche-entera-80000.html</t>
      </text>
    </comment>
    <comment ref="H108" authorId="1" shapeId="0">
      <text>
        <t>Producto consultado: Leche entera Carrefour brik 1 l.
Formato: 1 l
Precio de origen: 0.96 € por envase/pieza o formato publicado
Valor de la celda: 0.96 €/l.
Consultado: 04/10/2026. Fecha de registro de fuente: 2026-10-04.
Fuente: web pública de Carrefour. La tienda, zona y disponibilidad pueden cambiar el precio.
URL: https://www.carrefour.es/supermercado/la-despensa/lacteos/leche/cat20093/c</t>
      </text>
    </comment>
    <comment ref="I108" authorId="1" shapeId="0">
      <text>
        <t>Producto consultado: PULEVA Leche Entera Brik 1 L
Formato: 1 L
Precio de origen: 1.19 € por envase/pieza o formato publicado
Valor de la celda: 1.19 €/l.
Consultado: 04/10/2026. Fecha de registro de fuente: 2026-10-04.
Fuente: web pública de Consum. La tienda, zona y disponibilidad pueden cambiar el precio.
URL: https://tienda.consum.es/es/c/despensa/lacteos-huevos/leche/2071</t>
      </text>
    </comment>
    <comment ref="E109" authorId="1" shapeId="0">
      <text>
        <t>Producto consultado: Leche semidesnatada Hacendado
Formato: 1 l
Precio de origen: 0.83 € por envase/pieza o formato publicado
Valor de la celda: 0.83 €/l.
 Importe por l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https://cestio.es/mercadona/huevos-leche-y-mantequilla</t>
      </text>
    </comment>
    <comment ref="H109" authorId="1" shapeId="0">
      <text>
        <t>Producto consultado: Leche semidesnatada Carrefour brik 1 l.
Formato: 1 l
Precio de origen: 0.84 € por envase/pieza o formato publicado
Valor de la celda: 0.84 €/l.
Consultado: 04/10/2026. Fecha de registro de fuente: 2026-10-04.
Fuente: web pública de Carrefour. La tienda, zona y disponibilidad pueden cambiar el precio.
URL: https://www.carrefour.es/supermercado/la-despensa/lacteos/leche/cat20093/c</t>
      </text>
    </comment>
    <comment ref="I109" authorId="1" shapeId="0">
      <text>
        <t>Producto consultado: CONSUM Leche Semidesnatada Brik 1 L
Formato: 1 L
Precio de origen: 0.84 € por envase/pieza o formato publicado
Valor de la celda: 0.84 €/l.
Consultado: 04/10/2026. Fecha de registro de fuente: 2026-10-04.
Fuente: web pública de Consum. La tienda, zona y disponibilidad pueden cambiar el precio.
URL: https://tienda.consum.es/es/c/despensa/lacteos-huevos/leche/semidesnatada/2075</t>
      </text>
    </comment>
    <comment ref="G110" authorId="2" shapeId="0">
      <text>
        <t>Producto consultado: BIO Mantequilla ecológica, 250 g
Formato: 250 g
Precio de origen: 3.39 € por envase/pieza o formato publicado
Valor de la celda: 3.39 €/ud.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https://www.aldi.es/producto/mantequilla-ecologica-733100.html</t>
      </text>
    </comment>
    <comment ref="H110" authorId="1" shapeId="0">
      <text>
        <t>Producto consultado: Mantequilla pastilla sin sal Carrefour Classic 250 g.
Formato: 250 g
Precio de origen: 2.05 € por envase/pieza o formato publicado
Valor de la celda: 2.05 €/ud.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https://www.carrefour.es/supermercado/la-despensa/lacteos/mantequillas-y-margarinas/cat20095/c</t>
      </text>
    </comment>
    <comment ref="I110" authorId="1" shapeId="0">
      <text>
        <t>Producto consultado: CONSUM Mantequilla Pastilla 250 Gr
Formato: 250 Gr
Precio de origen: 2.05 € por envase/pieza o formato publicado
Valor de la celda: 2.05 €/ud.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https://tienda.consum.es/es/c/despensa/lacteos-huevos/mantequilla-margarina/2094</t>
      </text>
    </comment>
    <comment ref="E111" authorId="1" shapeId="0">
      <text>
        <t>Producto consultado: Nata ligera para cocinar Hacendado
Formato: 0.5 l
Precio de origen: 1.55 € por envase/pieza o formato publicado
Valor de la celda: 1.55 €/ud.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https://cestio.es/mercadona/huevos-leche-y-mantequilla?page=1</t>
      </text>
    </comment>
    <comment ref="I111" authorId="1" shapeId="0">
      <text>
        <t>Producto consultado: CONSUM Nata para Cocinar Brik 500 ml
Formato: 500 ml
Precio de origen: 1.55 € por envase/pieza o formato publicado
Valor de la celda: 1.55 €/ud.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https://tienda.consum.es/es/c/despensa/lacteos-huevos/nata/2100</t>
      </text>
    </comment>
    <comment ref="H112" authorId="1" shapeId="0">
      <text>
        <t>Producto consultado: Nata liquida para montar Carrefour pack de 3 unidades de 200 ml.
Formato: 200 ml
Precio de origen: 2.25 € por envase/pieza o formato publicado
Valor de la celda: 2.25 €/ud.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https://www.carrefour.es/supermercado/la-despensa/lacteos/cat20011/c</t>
      </text>
    </comment>
    <comment ref="I112" authorId="1" shapeId="0">
      <text>
        <t>Producto consultado: CONSUM Nata para Montar Brik 500 ml
Formato: 500 ml
Precio de origen: 1.95 € por envase/pieza o formato publicado
Valor de la celda: 1.95 €/ud.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https://tienda.consum.es/es/c/despensa/lacteos-huevos/nata/2100</t>
      </text>
    </comment>
    <comment ref="E113" authorId="1" shapeId="0">
      <text>
        <t>Producto consultado: Natillas sabor vainilla Hacendado
Formato: 0.5 kg
Precio de origen: 1.05 € por envase/pieza o formato publicado
Valor de la celda: 1.05 €/ud.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https://cestio.es/mercadona/postres-y-yogures</t>
      </text>
    </comment>
    <comment ref="G113" authorId="2" shapeId="0">
      <text>
        <t>Producto consultado: MILSANI Natillas de vainilla, 4 x 125 g
Formato: 4 x 125 g
Precio de origen: 0.99 € por envase/pieza o formato publicado
Valor de la celda: 0.99 €/ud.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https://www.aldi.es/producto/natillas-de-vainilla-209600.html</t>
      </text>
    </comment>
    <comment ref="I113" authorId="1" shapeId="0">
      <text>
        <t>Producto consultado: KIDS WORLD Natillas con Sorpresa 70 Gr
Formato: 70 Gr
Precio de origen: 1.19 € por envase/pieza o formato publicado
Valor de la celda: 1.19 €/ud.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https://tienda.consum.es/es/c/despensa/lacteos-huevos/postres/natillas/2107</t>
      </text>
    </comment>
    <comment ref="E114" authorId="1" shapeId="0">
      <text>
        <t>Producto consultado: Petit sabores Hacendado
Formato: 0.72 kg
Precio de origen: 1.70 € por envase/pieza o formato publicado
Valor de la celda: 1.70 €/ud.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https://cestio.es/mercadona/postres-y-yogures</t>
      </text>
    </comment>
    <comment ref="G114" authorId="2" shapeId="0">
      <text>
        <t>Producto consultado: MILSANI Petit de sabores, 12x60 g
Formato: 12x60 g
Precio de origen: 1.65 € por envase/pieza o formato publicado
Valor de la celda: 1.65 €/ud.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https://www.aldi.es/producto/petit-de-sabores-600508500.html</t>
      </text>
    </comment>
    <comment ref="I114" authorId="1" shapeId="0">
      <text>
        <t>Producto consultado: DANONE Danonino Petit Suisse Sabor Fresa Pack de 6 U 6 x 50 Gr
Formato: 6 x 50 Gr
Precio de origen: 1.69 € por envase/pieza o formato publicado
Valor de la celda: 1.69 €/ud.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https://tienda.consum.es/es/c/despensa/lacteos-huevos/yogures/2123</t>
      </text>
    </comment>
    <comment ref="E115" authorId="1" shapeId="0">
      <text>
        <t>Producto consultado: Yogur griego natural Hacendado
Formato: 0.75 kg
Precio de origen: 1.45 € por envase/pieza o formato publicado
Valor de la celda: 1.45 €/ud.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https://cestio.es/mercadona/postres-y-yogures</t>
      </text>
    </comment>
    <comment ref="G115" authorId="2" shapeId="0">
      <text>
        <t>Producto consultado: MILSANI Yogur al estilo griego natural, 6 x 125 g
Formato: 6 x 125 g
Precio de origen: 1.39 € por envase/pieza o formato publicado
Valor de la celda: 1.39 €/ud.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https://www.aldi.es/producto/yogur-al-estilo-griego-natural-84200.html</t>
      </text>
    </comment>
    <comment ref="H115" authorId="1" shapeId="0">
      <text>
        <t>Producto consultado: Yogur griego natural Carrefour Extra pack de 6 unidades de 125 g.
Formato: 125 g
Precio de origen: 1.44 € por envase/pieza o formato publicado
Valor de la celda: 1.44 €/ud.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https://www.carrefour.es/supermercado/la-despensa/yogures-y-postres/cat390008/c</t>
      </text>
    </comment>
    <comment ref="I115" authorId="1" shapeId="0">
      <text>
        <t>Producto consultado: CONSUM Yogur Griego Natural 1 Kg
Formato: 1 Kg
Precio de origen: 2.10 € por envase/pieza o formato publicado
Valor de la celda: 2.10 €/ud.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https://tienda.consum.es/es/c/despensa/lacteos-huevos/yogures/yogur-griego/5168</t>
      </text>
    </comment>
    <comment ref="E116" authorId="1" shapeId="0">
      <text>
        <t>Producto consultado: Yogur natural Hacendado
Formato: 0.75 kg
Precio de origen: 1.00 € por envase/pieza o formato publicado
Valor de la celda: 1.00 €/ud.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https://cestio.es/mercadona/postres-y-yogures</t>
      </text>
    </comment>
    <comment ref="G116" authorId="2" shapeId="0">
      <text>
        <t>Producto consultado: MILSANI Yogur natural, 8 x 125 g
Formato: 8 x 125 g
Precio de origen: 1.29 € por envase/pieza o formato publicado
Valor de la celda: 1.29 €/ud.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https://www.aldi.es/producto/yogur-natural-952000.html</t>
      </text>
    </comment>
    <comment ref="H116" authorId="1" shapeId="0">
      <text>
        <t>Producto consultado: Yogur natural Carrefour pack de 8 unidades de 125 g.
Formato: 125 g
Precio de origen: 1.40 € por envase/pieza o formato publicado
Valor de la celda: 1.40 €/ud.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https://www.carrefour.es/supermercado/la-despensa/yogures-y-postres/yogur-natural-y-sabores/cat360008/c</t>
      </text>
    </comment>
    <comment ref="I116" authorId="1" shapeId="0">
      <text>
        <t>Producto consultado: CONSUM Yogur Natural Pack de 4 Unidades 4 x 125 Gr
Formato: 4 x 125 Gr
Precio de origen: 0.75 € por envase/pieza o formato publicado
Valor de la celda: 0.75 €/ud.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https://tienda.consum.es/es/c/despensa/lacteos-huevos/yogures/yogur-natural-y-azucarado/2132</t>
      </text>
    </comment>
    <comment ref="E117" authorId="1" shapeId="0">
      <text>
        <t>Producto consultado: Yogur sabor fresa Hacendado
Formato: 0.5 kg
Precio de origen: 0.75 € por envase/pieza o formato publicado
Valor de la celda: 0.75 €/ud.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https://cestio.es/mercadona/postres-y-yogures</t>
      </text>
    </comment>
    <comment ref="G117" authorId="2" shapeId="0">
      <text>
        <t>Producto consultado: MILSANI Yogur de sabores, 12 x 125 g
Formato: 12 x 125 g
Precio de origen: 1.72 € por envase/pieza o formato publicado
Valor de la celda: 1.72 €/ud.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https://www.aldi.es/producto/yogur-de-sabores-681500.html</t>
      </text>
    </comment>
    <comment ref="H117" authorId="1" shapeId="0">
      <text>
        <t>Producto consultado: Yogur sabor fresa Danone sin gluten pack de 4 unidades de 120 g.
Formato: 120 g
Precio de origen: 0.99 € por envase/pieza o formato publicado
Valor de la celda: 0.99 €/ud.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https://www.carrefour.es/supermercado/la-despensa/yogures-y-postres/yogur-natural-y-sabores/cat360008/c</t>
      </text>
    </comment>
    <comment ref="I117" authorId="1" shapeId="0">
      <text>
        <t>Producto consultado: CONSUM Yogur Sabor Fresa Pack 4 Unidades 4 x 125 Gr
Formato: 4 x 125 Gr
Precio de origen: 0.75 € por envase/pieza o formato publicado
Valor de la celda: 0.75 €/ud.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https://tienda.consum.es/es/c/despensa/lacteos-huevos/yogures/yogur-sabores/2134</t>
      </text>
    </comment>
    <comment ref="G118" authorId="2" shapeId="0">
      <text>
        <t>Producto consultado: EL HORNO Biscotes, 4 x 135 g
Formato: 4 x 135 g
Precio de origen: 1.62 € por envase/pieza o formato publicado
Valor de la celda: 1.62 €/ud.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https://www.aldi.es/producto/biscotes-601724800.html</t>
      </text>
    </comment>
    <comment ref="E119" authorId="1" shapeId="0">
      <text>
        <t>Producto consultado: Bizcocho de yogur Hacendado
Formato: 0.8 kg
Precio de origen: 3.50 € por envase/pieza o formato publicado
Valor de la celda: 3.50 €/ud.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https://cestio.es/mercadona/panaderia-y-pasteleria?page=1</t>
      </text>
    </comment>
    <comment ref="G119" authorId="2" shapeId="0">
      <text>
        <t>Producto consultado: EL HORNO Bizcocho sabor yogur, 350 g
Formato: 350 g
Precio de origen: 2.35 € por envase/pieza o formato publicado
Valor de la celda: 2.35 €/ud.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https://www.aldi.es/producto/bizcocho-sabor-yogur-236405.html</t>
      </text>
    </comment>
    <comment ref="E120" authorId="1" shapeId="0">
      <text>
        <t>Producto consultado: Croissant Hacendado
Formato: 0.43 kg
Precio de origen: 1.85 € por envase/pieza o formato publicado
Valor de la celda: 1.85 €/ud.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https://cestio.es/mercadona/panaderia-y-pasteleria?page=1</t>
      </text>
    </comment>
    <comment ref="G120" authorId="2" shapeId="0">
      <text>
        <t>Producto consultado: EL HORNO Croissants, 350 g
Formato: 350 g
Precio de origen: 1.45 € por envase/pieza o formato publicado
Valor de la celda: 1.45 €/ud.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https://www.aldi.es/producto/croissants-600120200.html</t>
      </text>
    </comment>
    <comment ref="E121" authorId="1" shapeId="0">
      <text>
        <t>Producto consultado: Magdalenas Hacendado
Formato: 0.55 kg
Precio de origen: 2.00 € por envase/pieza o formato publicado
Valor de la celda: 2.00 €/ud.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https://cestio.es/mercadona/panaderia-y-pasteleria?page=1</t>
      </text>
    </comment>
    <comment ref="G121" authorId="2" shapeId="0">
      <text>
        <t>Producto consultado: EL HORNO Magdalenas valencianas, 700 g
Formato: 700 g
Precio de origen: 2.39 € por envase/pieza o formato publicado
Valor de la celda: 2.39 €/ud.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https://www.aldi.es/producto/magdalenas-valencianas-601693900.html</t>
      </text>
    </comment>
    <comment ref="E122" authorId="1" shapeId="0">
      <text>
        <t>Producto consultado: Barra de pan
Formato: 0.25 kg
Precio de origen: 0.50 € por envase/pieza o formato publicado
Valor de la celda: 0.50 €/ud.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https://cestio.es/mercadona/panaderia-y-pasteleria</t>
      </text>
    </comment>
    <comment ref="E123" authorId="1" shapeId="0">
      <text>
        <t>Producto consultado: Maxi pan de burger Hacendado
Formato: 0.3 kg
Precio de origen: 0.85 € por envase/pieza o formato publicado
Valor de la celda: 0.85 €/ud.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https://cestio.es/mercadona/panaderia-y-pasteleria</t>
      </text>
    </comment>
    <comment ref="G123" authorId="2" shapeId="0">
      <text>
        <t>Producto consultado: EL HORNO Pan maxi hamburguesa, 4 x 75 g
Formato: 4 x 75 g
Precio de origen: 0.79 € por envase/pieza o formato publicado
Valor de la celda: 0.79 €/ud.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https://www.aldi.es/producto/pan-maxi-hamburguesa-565400.html</t>
      </text>
    </comment>
    <comment ref="E124" authorId="1" shapeId="0">
      <text>
        <t>Producto consultado: Pan de molde blanco Hacendado
Formato: 0.46 kg
Precio de origen: 0.80 € por envase/pieza o formato publicado
Valor de la celda: 0.80 €/ud.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https://cestio.es/mercadona/panaderia-y-pasteleria</t>
      </text>
    </comment>
    <comment ref="G124" authorId="2" shapeId="0">
      <text>
        <t>Producto consultado: EL HORNO Pan de molde blanco, 820 g
Formato: 820 g
Precio de origen: 1.09 € por envase/pieza o formato publicado
Valor de la celda: 1.09 €/ud.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https://www.aldi.es/producto/pan-de-molde-blanco-249200.html</t>
      </text>
    </comment>
    <comment ref="E126" authorId="1" shapeId="0">
      <text>
        <t>Producto consultado: Barra pan integral 100%
Formato: 0.23 kg
Precio de origen: 0.90 € por envase/pieza o formato publicado
Valor de la celda: 0.90 €/ud.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https://cestio.es/mercadona/panaderia-y-pasteleria?page=1</t>
      </text>
    </comment>
    <comment ref="G126" authorId="2" shapeId="0">
      <text>
        <t>Producto consultado: EL HORNO Pan de molde integral, 820 g
Formato: 820 g
Precio de origen: 1.12 € por envase/pieza o formato publicado
Valor de la celda: 1.12 €/ud.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https://www.aldi.es/producto/pan-de-molde-integral-647600.html</t>
      </text>
    </comment>
    <comment ref="E127" authorId="1" shapeId="0">
      <text>
        <t>Producto consultado: Pan tostado classic Hacendado
Formato: 0.55 kg
Precio de origen: 1.70 € por envase/pieza o formato publicado
Valor de la celda: 1.70 €/ud.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https://cestio.es/mercadona/panaderia-y-pasteleria?page=1</t>
      </text>
    </comment>
    <comment ref="E128" authorId="1" shapeId="0">
      <text>
        <t>Producto consultado: Picos Hacendado
Formato: 0.25 kg
Precio de origen: 0.80 € por envase/pieza o formato publicado
Valor de la celda: 0.80 €/ud.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https://cestio.es/mercadona/panaderia-y-pasteleria?page=1</t>
      </text>
    </comment>
    <comment ref="G128" authorId="2" shapeId="0">
      <text>
        <t>Producto consultado: EL HORNO Picos de pan, 250 g
Formato: 250 g
Precio de origen: 0.69 € por envase/pieza o formato publicado
Valor de la celda: 0.69 €/ud.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https://www.aldi.es/producto/picos-de-pan-245401.html</t>
      </text>
    </comment>
    <comment ref="E129" authorId="1" shapeId="0">
      <text>
        <t>Producto consultado: Tortillas de trigo Hacendado
Formato: 0.36 kg
Precio de origen: 1.15 € por envase/pieza o formato publicado
Valor de la celda: 1.15 €/ud.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https://cestio.es/mercadona/panaderia-y-pasteleria?page=1</t>
      </text>
    </comment>
    <comment ref="G129" authorId="2" shapeId="0">
      <text>
        <t>Producto consultado: EL HORNO Tortillas de trigo, 320 g
Formato: 320 g
Precio de origen: 0.89 € por envase/pieza o formato publicado
Valor de la celda: 0.89 €/ud.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https://www.aldi.es/producto/tortillas-de-trigo-231000.html</t>
      </text>
    </comment>
    <comment ref="E130" authorId="1" shapeId="0">
      <text>
        <t>Producto consultado: Alubia roja Hacendado
Formato: 1 kg
Precio de origen: 3.00 € por envase/pieza o formato publicado
Valor de la celda: 3.00 €/ud.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G130" authorId="2" shapeId="0">
      <text>
        <t>Producto consultado: EL CULTIVADOR Alubias blancas extra, 1 kg
Formato: 1 kg
Precio de origen: 2.39 € por envase/pieza o formato publicado
Valor de la celda: 2.39 €/ud.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https://www.aldi.es/producto/alubias-blancas-extra-500400.html</t>
      </text>
    </comment>
    <comment ref="I130" authorId="1" shapeId="0">
      <text>
        <t>Producto consultado: LUENGO Alubia Blanca Larga 500 Gr
Formato: 500 Gr
Precio de origen: 2.05 € por envase/pieza o formato publicado
Valor de la celda: 2.05 €/ud.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https://tienda.consum.es/es/c/despensa/arroz-pastas-legumbres/legumbres/1654</t>
      </text>
    </comment>
    <comment ref="E131" authorId="1" shapeId="0">
      <text>
        <t>Producto consultado: Arroz basmati aromático Hacendado
Formato: 1 kg
Precio de origen: 2.10 € por envase/pieza o formato publicado
Valor de la celda: 2.10 €/ud.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G131" authorId="2" shapeId="0">
      <text>
        <t>Producto consultado: LA VILLA Arroz basmati, 1 kg
Formato: 1 kg
Precio de origen: 1.89 € por envase/pieza o formato publicado
Valor de la celda: 1.89 €/ud.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https://www.aldi.es/producto/arroz-basmati-246400.html</t>
      </text>
    </comment>
    <comment ref="I131" authorId="1" shapeId="0">
      <text>
        <t>Producto consultado: CONSUM Arroz Basmati 1 Kg
Formato: 1 Kg
Precio de origen: 2.10 € por envase/pieza o formato publicado
Valor de la celda: 2.10 €/ud.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https://tienda.consum.es/es/c/despensa/arroz-pastas-legumbres/arroz/1640</t>
      </text>
    </comment>
    <comment ref="E132" authorId="1" shapeId="0">
      <text>
        <t>Producto consultado: Arroz largo Hacendado
Formato: 1 kg
Precio de origen: 1.20 € por envase/pieza o formato publicado
Valor de la celda: 1.20 €/kg.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https://cestio.es/mercadona/arroz-legumbres-y-pasta</t>
      </text>
    </comment>
    <comment ref="G132" authorId="2" shapeId="0">
      <text>
        <t>Producto consultado: BON-RI Arroz vaporizado, 1 kg
Formato: 1 kg
Precio de origen: 1.35 € por envase/pieza o formato publicado
Valor de la celda: 1.35 €/ud.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https://www.aldi.es/producto/arroz-vaporizado-246500.html</t>
      </text>
    </comment>
    <comment ref="H132" authorId="1" shapeId="0">
      <text>
        <t>Producto consultado: Arroz largo categoria 1 Carrefour Classic´ 1 kg.
Formato: 1 kg
Precio de origen: 1.25 € por envase/pieza o formato publicado
Valor de la celda: 1.25 €/kg.
Consultado: 04/10/2026. Fecha de registro de fuente: 2026-10-04.
Fuente: web pública de Carrefour. La tienda, zona y disponibilidad pueden cambiar el precio.
URL: https://www.carrefour.es/supermercado/la-despensa/alimentacion/cat20009/c</t>
      </text>
    </comment>
    <comment ref="I132" authorId="1" shapeId="0">
      <text>
        <t>Producto consultado: CONSUM Arroz Largo 1 Kg
Formato: 1 Kg
Precio de origen: 1.20 € por envase/pieza o formato publicado
Valor de la celda: 1.20 €/kg.
Consultado: 04/10/2026. Fecha de registro de fuente: 2026-10-04.
Fuente: web pública de Consum. La tienda, zona y disponibilidad pueden cambiar el precio.
URL: https://tienda.consum.es/es/c/despensa/arroz-pastas-legumbres/arroz/1640</t>
      </text>
    </comment>
    <comment ref="E133" authorId="1" shapeId="0">
      <text>
        <t>Producto consultado: Arroz redondo Hacendado
Formato: 1 kg
Precio de origen: 1.15 € por envase/pieza o formato publicado
Valor de la celda: 1.15 €/kg.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https://cestio.es/mercadona/arroz-legumbres-y-pasta</t>
      </text>
    </comment>
    <comment ref="I133" authorId="1" shapeId="0">
      <text>
        <t>Producto consultado: CONSUM Arroz Redondo Extra Origen España 1 Kg
Formato: 1 Kg
Precio de origen: 1.15 € por envase/pieza o formato publicado
Valor de la celda: 1.15 €/kg.
Consultado: 04/10/2026. Fecha de registro de fuente: 2026-10-04.
Fuente: web pública de Consum. La tienda, zona y disponibilidad pueden cambiar el precio.
URL: https://tienda.consum.es/es/c/despensa/arroz-pastas-legumbres/arroz/1640</t>
      </text>
    </comment>
    <comment ref="E134" authorId="1" shapeId="0">
      <text>
        <t>Producto consultado: Caldo de pollo Hacendado
Formato: 1 l
Precio de origen: 0.75 € por envase/pieza o formato publicado
Valor de la celda: 0.75 €/l.
 Importe por l calculado a partir del precio y cantidad registrados por Cestio; en piezas a peso es aproximado.
Consultado: 04/10/2026. Fecha de registro de fuente: 2026-10-02.
Fuente indirecta: Cestio, precio registrado para Mercadona; no confirmado directamente en tienda.
URL: https://cestio.es/mercadona/conservas-caldos-y-cremas</t>
      </text>
    </comment>
    <comment ref="H134" authorId="1" shapeId="0">
      <text>
        <t>Producto consultado: Caldo de pollo Classic Carrefour sin gluten brik 1 l.
Formato: 1 l
Precio de origen: 0.75 € por envase/pieza o formato publicado
Valor de la celda: 0.75 €/l.
Consultado: 04/10/2026. Fecha de registro de fuente: 2026-10-04.
Fuente: web pública de Carrefour. La tienda, zona y disponibilidad pueden cambiar el precio.
URL: https://www.carrefour.es/supermercado/la-despensa/conservas-sopas-y-precocinados/cat20013/c</t>
      </text>
    </comment>
    <comment ref="E135" authorId="1" shapeId="0">
      <text>
        <t>Producto consultado: Caldo de verduras casero Gallina blanca
Formato: 1 l
Precio de origen: 1.80 € por envase/pieza o formato publicado
Valor de la celda: 1.80 €/l.
 Importe por l calculado a partir del precio y cantidad registrados por Cestio; en piezas a peso es aproximado.
Consultado: 04/10/2026. Fecha de registro de fuente: 2026-10-02.
Fuente indirecta: Cestio, precio registrado para Mercadona; no confirmado directamente en tienda.
URL: https://cestio.es/mercadona/conservas-caldos-y-cremas</t>
      </text>
    </comment>
    <comment ref="G135" authorId="2" shapeId="0">
      <text>
        <t>Producto consultado: LA VILLA Caldo de verdura, 1 l
Formato: 1 l
Precio de origen: 0.89 € por envase/pieza o formato publicado
Valor de la celda: 0.89 €/ud.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https://www.aldi.es/producto/caldo-de-verdura-538600.html</t>
      </text>
    </comment>
    <comment ref="E136" authorId="1" shapeId="0">
      <text>
        <t>Producto consultado: Cous cous mediano Hacendado
Formato: 1 kg
Precio de origen: 1.95 € por envase/pieza o formato publicado
Valor de la celda: 1.95 €/ud.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I136" authorId="1" shapeId="0">
      <text>
        <t>Producto consultado: GALLO Cous Cous Mediano Caja 500 Gr
Formato: 500 Gr
Precio de origen: 2.00 € por envase/pieza o formato publicado
Valor de la celda: 2.00 €/ud.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https://tienda.consum.es/es/c/despensa/arroz-pastas-legumbres/pastas/1659</t>
      </text>
    </comment>
    <comment ref="E137" authorId="1" shapeId="0">
      <text>
        <t>Producto consultado: Spaghetti Hacendado
Formato: 1 kg
Precio de origen: 1.15 € por envase/pieza o formato publicado
Valor de la celda: 1.15 €/ud.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G137" authorId="2" shapeId="0">
      <text>
        <t>Producto consultado: CUCINA Spaghetti, 1 kg
Formato: 1 kg
Precio de origen: 1.15 € por envase/pieza o formato publicado
Valor de la celda: 1.15 €/ud.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https://www.aldi.es/producto/spaghetti-793700.html</t>
      </text>
    </comment>
    <comment ref="H137" authorId="1" shapeId="0">
      <text>
        <t>Producto consultado: Pasta espaguetis Carrefour Classic 1 kg.
Formato: 1 kg
Precio de origen: 1.10 € por envase/pieza o formato publicado
Valor de la celda: 1.10 €/ud.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https://www.carrefour.es/supermercado/la-despensa/alimentacion/pastas/cat20073/c</t>
      </text>
    </comment>
    <comment ref="I137" authorId="1" shapeId="0">
      <text>
        <t>Producto consultado: CONSUM Spaghetti Paquete 500 Gr
Formato: 500 Gr
Precio de origen: 0.80 € por envase/pieza o formato publicado
Valor de la celda: 0.80 €/ud.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https://tienda.consum.es/es/c/despensa/arroz-pastas-legumbres/pastas/1659</t>
      </text>
    </comment>
    <comment ref="E138" authorId="1" shapeId="0">
      <text>
        <t>Producto consultado: Fideo grueso Hacendado
Formato: 0.5 kg
Precio de origen: 0.80 € por envase/pieza o formato publicado
Valor de la celda: 0.80 €/ud.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I138" authorId="1" shapeId="0">
      <text>
        <t>Producto consultado: GALLO Fideo 2 Paquete 450 Gr
Formato: 450 Gr
Precio de origen: 0.99 € por envase/pieza o formato publicado
Valor de la celda: 0.99 €/ud.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https://tienda.consum.es/es/c/despensa/arroz-pastas-legumbres/1639</t>
      </text>
    </comment>
    <comment ref="E139" authorId="1" shapeId="0">
      <text>
        <t>Producto consultado: Garbanzo Hacendado
Formato: 1 kg
Precio de origen: 2.15 € por envase/pieza o formato publicado
Valor de la celda: 2.15 €/ud.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G139" authorId="2" shapeId="0">
      <text>
        <t>Producto consultado: EL CULTIVADOR Garbanzo extra, 1 kg
Formato: 1 kg
Precio de origen: 2.09 € por envase/pieza o formato publicado
Valor de la celda: 2.09 €/ud.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https://www.aldi.es/producto/garbanzo-extra-500000.html</t>
      </text>
    </comment>
    <comment ref="H139" authorId="1" shapeId="0">
      <text>
        <t>Producto consultado: Garbanzo pedrosillano Classic Carrefour 400 g.
Formato: 400 g
Precio de origen: 0.90 € por envase/pieza o formato publicado
Valor de la celda: 0.90 €/ud.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https://www.carrefour.es/supermercado/la-despensa/alimentacion/legumbres/cat20071/c</t>
      </text>
    </comment>
    <comment ref="I139" authorId="1" shapeId="0">
      <text>
        <t>Producto consultado: CONSUM Garbanzos 400 Gr
Formato: 400 Gr
Precio de origen: 1.22 € por envase/pieza o formato publicado
Valor de la celda: 1.22 €/ud.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https://tienda.consum.es/es/c/congelados/frutas-verduras/2514</t>
      </text>
    </comment>
    <comment ref="E140" authorId="1" shapeId="0">
      <text>
        <t>Producto consultado: Garbanzo cocido Hacendado
Formato: 0.57 kg
Precio de origen: 0.80 € por envase/pieza o formato publicado
Valor de la celda: 0.80 €/ud.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G140" authorId="2" shapeId="0">
      <text>
        <t>Producto consultado: ALL SEASONS Garbanzos cocidos extra, 400 g peso esc.
Formato: 400 g peso esc.
Precio de origen: 0.75 € por envase/pieza o formato publicado
Valor de la celda: 0.75 €/ud.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https://www.aldi.es/producto/garbanzos-cocidos-extra-501000.html</t>
      </text>
    </comment>
    <comment ref="H140" authorId="1" shapeId="0">
      <text>
        <t>Producto consultado: Garbanzo cocido categoría extra Luengo 400 g.
Formato: 400 g
Precio de origen: 1.27 € por envase/pieza o formato publicado
Valor de la celda: 1.27 €/ud.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https://www.carrefour.es/supermercado/la-despensa/alimentacion/legumbres/cat20071/c</t>
      </text>
    </comment>
    <comment ref="I140" authorId="1" shapeId="0">
      <text>
        <t>Producto consultado: CONSUM Garbanzo Cocido Frasco 400 Gr
Formato: 400 Gr
Precio de origen: 0.80 € por envase/pieza o formato publicado
Valor de la celda: 0.80 €/ud.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https://tienda.consum.es/es/c/despensa/arroz-pastas-legumbres/legumbres/1654</t>
      </text>
    </comment>
    <comment ref="E141" authorId="1" shapeId="0">
      <text>
        <t>Producto consultado: Harina de trigo Hacendado
Formato: 1 kg
Precio de origen: 0.72 € por envase/pieza o formato publicado
Valor de la celda: 0.72 €/kg.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https://cestio.es/mercadona/panaderia-y-pasteleria</t>
      </text>
    </comment>
    <comment ref="G141" authorId="2" shapeId="0">
      <text>
        <t>Producto consultado: LA VILLA Harina de trigo, 1 kg
Formato: 1 kg
Precio de origen: 0.69 € por envase/pieza o formato publicado
Valor de la celda: 0.69 €/ud.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https://www.aldi.es/producto/harina-de-trigo-70000.html</t>
      </text>
    </comment>
    <comment ref="H141" authorId="1" shapeId="0">
      <text>
        <t>Producto consultado: Harina de trigo Classic Carrefour 1 kg.
Formato: 1 kg
Precio de origen: 0.72 € por envase/pieza o formato publicado
Valor de la celda: 0.72 €/kg.
Consultado: 04/10/2026. Fecha de registro de fuente: 2026-10-04.
Fuente: web pública de Carrefour. La tienda, zona y disponibilidad pueden cambiar el precio.
URL: https://www.carrefour.es/supermercado/la-despensa/alimentacion/cat20009/c</t>
      </text>
    </comment>
    <comment ref="E142" authorId="1" shapeId="0">
      <text>
        <t>Producto consultado: Placas para lasaña precocidas El Pavo
Formato: 0.2 kg
Precio de origen: 1.65 € por envase/pieza o formato publicado
Valor de la celda: 1.65 €/ud.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https://cestio.es/mercadona/arroz-legumbres-y-pasta?page=1</t>
      </text>
    </comment>
    <comment ref="G142" authorId="2" shapeId="0">
      <text>
        <t>Producto consultado: CUCINA Placas para lasaña, 500 g
Formato: 500 g
Precio de origen: 1.29 € por envase/pieza o formato publicado
Valor de la celda: 1.29 €/ud.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https://www.aldi.es/producto/placas-para-lasana-601594500.html</t>
      </text>
    </comment>
    <comment ref="E143" authorId="1" shapeId="0">
      <text>
        <t>Producto consultado: Lenteja pardina Hacendado
Formato: 1 kg
Precio de origen: 1.85 € por envase/pieza o formato publicado
Valor de la celda: 1.85 €/ud.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H143" authorId="1" shapeId="0">
      <text>
        <t>Producto consultado: Lenteja pardina categoría extra Classic Carrefour 1 kg.
Formato: 1 kg
Precio de origen: 1.85 € por envase/pieza o formato publicado
Valor de la celda: 1.85 €/ud.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https://www.carrefour.es/supermercado/la-despensa/alimentacion/legumbres/cat20071/c</t>
      </text>
    </comment>
    <comment ref="I143" authorId="1" shapeId="0">
      <text>
        <t>Producto consultado: LUENGO Lenteja Pardina 500 Gr
Formato: 500 Gr
Precio de origen: 2.05 € por envase/pieza o formato publicado
Valor de la celda: 2.05 €/ud.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https://tienda.consum.es/es/c/despensa/arroz-pastas-legumbres/legumbres/1654</t>
      </text>
    </comment>
    <comment ref="E144" authorId="1" shapeId="0">
      <text>
        <t>Producto consultado: Lenteja cocida Hacendado
Formato: 0.57 kg
Precio de origen: 0.90 € por envase/pieza o formato publicado
Valor de la celda: 0.90 €/ud.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H144" authorId="1" shapeId="0">
      <text>
        <t>Producto consultado: Lentejas cocidas categoría extra Classic Carrefour 400 g.
Formato: 400 g
Precio de origen: 0.90 € por envase/pieza o formato publicado
Valor de la celda: 0.90 €/ud.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https://www.carrefour.es/supermercado/la-despensa/alimentacion/legumbres/cat20071/c</t>
      </text>
    </comment>
    <comment ref="I144" authorId="1" shapeId="0">
      <text>
        <t>Producto consultado: CONSUM Lenteja Pardina Cocida Frasco 400 Gr
Formato: 400 Gr
Precio de origen: 0.89 € por envase/pieza o formato publicado
Valor de la celda: 0.89 €/ud.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https://tienda.consum.es/es/c/despensa/arroz-pastas-legumbres/legumbres/1654</t>
      </text>
    </comment>
    <comment ref="G145" authorId="2" shapeId="0">
      <text>
        <t>Producto consultado: CUCINA Macarrón rayado, 500 g
Formato: 500 g
Precio de origen: 0.75 € por envase/pieza o formato publicado
Valor de la celda: 0.75 €/ud.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https://www.aldi.es/producto/macarron-rayado-558000.html</t>
      </text>
    </comment>
    <comment ref="H145" authorId="1" shapeId="0">
      <text>
        <t>Producto consultado: Pasta macarrones Carrefour Classic 1 kg.
Formato: 1 kg
Precio de origen: 1.10 € por envase/pieza o formato publicado
Valor de la celda: 1.10 €/ud.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https://www.carrefour.es/supermercado/la-despensa/alimentacion/pastas/cat20073/c</t>
      </text>
    </comment>
    <comment ref="I145" authorId="1" shapeId="0">
      <text>
        <t>Producto consultado: CONSUM Macarrones Paquete 500 Gr
Formato: 500 Gr
Precio de origen: 0.80 € por envase/pieza o formato publicado
Valor de la celda: 0.80 €/ud.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https://tienda.consum.es/es/c/despensa/arroz-pastas-legumbres/pastas/1659</t>
      </text>
    </comment>
    <comment ref="E146" authorId="1" shapeId="0">
      <text>
        <t>Producto consultado: Pan rallado Hacendado
Formato: 0.75 kg
Precio de origen: 0.85 € por envase/pieza o formato publicado
Valor de la celda: 0.85 €/ud.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https://cestio.es/mercadona/panaderia-y-pasteleria</t>
      </text>
    </comment>
    <comment ref="G146" authorId="2" shapeId="0">
      <text>
        <t>Producto consultado: LA VILLA Pan rallado, 750 g
Formato: 750 g
Precio de origen: 0.78 € por envase/pieza o formato publicado
Valor de la celda: 0.78 €/ud.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https://www.aldi.es/producto/pan-rallado-601517600.html</t>
      </text>
    </comment>
    <comment ref="E147" authorId="1" shapeId="0">
      <text>
        <t>Producto consultado: Puré de patatas Hacendado en copos
Formato: 0.5 kg
Precio de origen: 2.00 € por envase/pieza o formato publicado
Valor de la celda: 2.00 €/ud.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https://cestio.es/mercadona/conservas-caldos-y-cremas</t>
      </text>
    </comment>
    <comment ref="G148" authorId="2" shapeId="0">
      <text>
        <t>Producto consultado: LA VILLA Quinoa blanca, 400 g
Formato: 400 g
Precio de origen: 2.15 € por envase/pieza o formato publicado
Valor de la celda: 2.15 €/ud.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https://www.aldi.es/producto/quinoa-blanca-601218700.html</t>
      </text>
    </comment>
    <comment ref="I148" authorId="1" shapeId="0">
      <text>
        <t>Producto consultado: SOS Quinoa 100% Paquete 250 Gr
Formato: 250 Gr
Precio de origen: 1.95 € por envase/pieza o formato publicado
Valor de la celda: 1.95 €/ud.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https://tienda.consum.es/es/c/despensa/arroz-pastas-legumbres/arroz/1640</t>
      </text>
    </comment>
    <comment ref="E149" authorId="1" shapeId="0">
      <text>
        <t>Producto consultado: Sopa de pollo Hacendado con fideos finos
Formato: 0.072 kg
Precio de origen: 0.55 € por envase/pieza o formato publicado
Valor de la celda: 0.55 €/ud.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https://cestio.es/mercadona/conservas-caldos-y-cremas?page=1</t>
      </text>
    </comment>
    <comment ref="E150" authorId="1" shapeId="0">
      <text>
        <t>Producto consultado: Tallarines Hacendado
Formato: 0.5 kg
Precio de origen: 0.80 € por envase/pieza o formato publicado
Valor de la celda: 0.80 €/ud.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https://cestio.es/mercadona/arroz-legumbres-y-pasta</t>
      </text>
    </comment>
    <comment ref="G150" authorId="2" shapeId="0">
      <text>
        <t>Producto consultado: CUCINA Tallarines, 500 g
Formato: 500 g
Precio de origen: 0.75 € por envase/pieza o formato publicado
Valor de la celda: 0.75 €/ud.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https://www.aldi.es/producto/tallarines-600005700.html</t>
      </text>
    </comment>
    <comment ref="I150" authorId="1" shapeId="0">
      <text>
        <t>Producto consultado: CONSUM Tallarines Paquete 500 Gr
Formato: 500 Gr
Precio de origen: 0.80 € por envase/pieza o formato publicado
Valor de la celda: 0.80 €/ud.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https://tienda.consum.es/es/c/despensa/arroz-pastas-legumbres/pastas/1659</t>
      </text>
    </comment>
    <comment ref="E151" authorId="1" shapeId="0">
      <text>
        <t>Producto consultado: Aceite de girasol refinado 0,2º Hacendado
Formato: 1 l
Precio de origen: 1.85 € por envase/pieza o formato publicado
Valor de la celda: 1.85 €/l.
 Importe por l calculado a partir del precio y cantidad registrados por Cestio; en piezas a peso es aproximado.
Consultado: 04/10/2026. Fecha de registro de fuente: 2026-10-02.
Fuente indirecta: Cestio, precio registrado para Mercadona; no confirmado directamente en tienda.
URL: https://cestio.es/mercadona/aceite-especias-y-salsas</t>
      </text>
    </comment>
    <comment ref="H151" authorId="1" shapeId="0">
      <text>
        <t>Producto consultado: Aceite refinado de girasol Carrefour Classic 1 l.
Formato: 1 l
Precio de origen: 1.85 € por envase/pieza o formato publicado
Valor de la celda: 1.85 €/l.
Consultado: 04/10/2026. Fecha de registro de fuente: 2026-10-04.
Fuente: web pública de Carrefour. La tienda, zona y disponibilidad pueden cambiar el precio.
URL: https://www.carrefour.es/supermercado/la-despensa/aceites-y-vinagres/cat33207691/c</t>
      </text>
    </comment>
    <comment ref="I151" authorId="1" shapeId="0">
      <text>
        <t>Producto consultado: CONSUM Aceite de Girasol Botella 1 L
Formato: 1 L
Precio de origen: 1.85 € por envase/pieza o formato publicado
Valor de la celda: 1.85 €/l.
Consultado: 04/10/2026. Fecha de registro de fuente: 2026-10-04.
Fuente: web pública de Consum. La tienda, zona y disponibilidad pueden cambiar el precio.
URL: https://tienda.consum.es/es/c/despensa/conservas-aceites-y-condimentos/aceite-vinagre/aceite-girasol/1527</t>
      </text>
    </comment>
    <comment ref="E152" authorId="1" shapeId="0">
      <text>
        <t>Producto consultado: Aceite de oliva 1º Hacendado
Formato: 1 l
Precio de origen: 3.90 € por envase/pieza o formato publicado
Valor de la celda: 3.90 €/l.
 Importe por l calculado a partir del precio y cantidad registrados por Cestio; en piezas a peso es aproximado.
Consultado: 04/10/2026. Fecha de registro de fuente: 2026-10-02.
Fuente indirecta: Cestio, precio registrado para Mercadona; no confirmado directamente en tienda.
URL: https://cestio.es/mercadona/aceite-especias-y-salsas</t>
      </text>
    </comment>
    <comment ref="G152" authorId="2" shapeId="0">
      <text>
        <t>Producto consultado: OLEARIA DEL OLIVAR Aceite de oliva suave, 1 l
Formato: 1 l
Precio de origen: 3.69 € por envase/pieza o formato publicado
Valor de la celda: 3.69 €/ud.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https://www.aldi.es/producto/aceite-de-oliva-suave-110500.html</t>
      </text>
    </comment>
    <comment ref="H152" authorId="1" shapeId="0">
      <text>
        <t>Producto consultado: Aceite de oliva original 0,4º Carbonell 1 l.
Formato: 1 l
Precio de origen: 5.75 € por envase/pieza o formato publicado
Valor de la celda: 5.75 €/l.
Consultado: 04/10/2026. Fecha de registro de fuente: 2026-10-04.
Fuente: web pública de Carrefour. La tienda, zona y disponibilidad pueden cambiar el precio.
URL: https://www.carrefour.es/supermercado/la-despensa/aceites-y-vinagres/cat33207691/c</t>
      </text>
    </comment>
    <comment ref="I152" authorId="1" shapeId="0">
      <text>
        <t>Producto consultado: CONSUM Aceite de Oliva Suave 1 L
Formato: 1 L
Precio de origen: 3.70 € por envase/pieza o formato publicado
Valor de la celda: 3.70 €/l.
Consultado: 04/10/2026. Fecha de registro de fuente: 2026-10-04.
Fuente: web pública de Consum. La tienda, zona y disponibilidad pueden cambiar el precio.
URL: https://tienda.consum.es/es/c/despensa/conservas-aceites-condimentos/aceite-vinagre/aceite-de-oliva-intenso-suave/4000</t>
      </text>
    </comment>
    <comment ref="E153" authorId="1" shapeId="0">
      <text>
        <t>Producto consultado: Aceite de oliva virgen extra Hacendado
Formato: 1 l
Precio de origen: 4.45 € por envase/pieza o formato publicado
Valor de la celda: 4.45 €/l.
 Importe por l calculado a partir del precio y cantidad registrados por Cestio; en piezas a peso es aproximado.
Consultado: 04/10/2026. Fecha de registro de fuente: 2026-10-02.
Fuente indirecta: Cestio, precio registrado para Mercadona; no confirmado directamente en tienda.
URL: https://cestio.es/mercadona/aceite-especias-y-salsas</t>
      </text>
    </comment>
    <comment ref="G153" authorId="2" shapeId="0">
      <text>
        <t>Producto consultado: OLEARIA DEL OLIVAR Aceite de oliva virgen extra, 1 l
Formato: 1 l
Precio de origen: 4.45 € por envase/pieza o formato publicado
Valor de la celda: 4.45 €/ud.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https://www.aldi.es/producto/aceite-de-oliva-virgen-extra-110100.html</t>
      </text>
    </comment>
    <comment ref="H153" authorId="1" shapeId="0">
      <text>
        <t>Producto consultado: Aceite de oliva virgen extra Carrefour Extra 1 l.
Formato: 1 l
Precio de origen: 4.44 € por envase/pieza o formato publicado
Valor de la celda: 4.44 €/l.
Consultado: 04/10/2026. Fecha de registro de fuente: 2026-10-04.
Fuente: web pública de Carrefour. La tienda, zona y disponibilidad pueden cambiar el precio.
URL: https://www.carrefour.es/supermercado/la-despensa/aceites-y-vinagres/cat33207691/c</t>
      </text>
    </comment>
    <comment ref="I153" authorId="1" shapeId="0">
      <text>
        <t>Producto consultado: CONSUM Aceite de Oliva Virgen Extra 3 L
Formato: 3 L
Precio de origen: 12.80 € por envase/pieza o formato publicado
Valor de la celda: 4.27 €/l.
Consultado: 04/10/2026. Fecha de registro de fuente: 2026-10-04.
Fuente: web pública de Consum. La tienda, zona y disponibilidad pueden cambiar el precio.
URL: https://tienda.consum.es/es/c/despensa/conservas-aceites-y-condimentos/aceite-vinagre/aceite-oliva-virgen-extra/1533</t>
      </text>
    </comment>
    <comment ref="E154" authorId="1" shapeId="0">
      <text>
        <t>Producto consultado: Alioli con perejil Hacendado
Formato: 0.31 l
Precio de origen: 1.45 € por envase/pieza o formato publicado
Valor de la celda: 1.45 €/ud.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https://cestio.es/mercadona/aceite-especias-y-salsas</t>
      </text>
    </comment>
    <comment ref="E155" authorId="1" shapeId="0">
      <text>
        <t>Producto consultado: Caldo de pollo Avecrem en pastillas
Formato: 0.24 kg
Precio de origen: 2.95 € por envase/pieza o formato publicado
Valor de la celda: 2.95 €/ud.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https://cestio.es/mercadona/conservas-caldos-y-cremas?page=1</t>
      </text>
    </comment>
    <comment ref="G155" authorId="2" shapeId="0">
      <text>
        <t>Producto consultado: LA VILLA Pastillas de caldo de pollo, 12 x 10 g
Formato: 12 x 10 g
Precio de origen: 0.79 € por envase/pieza o formato publicado
Valor de la celda: 0.79 €/ud.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https://www.aldi.es/producto/pastillas-de-caldo-de-pollo-257001.html</t>
      </text>
    </comment>
    <comment ref="E157" authorId="1" shapeId="0">
      <text>
        <t>Producto consultado: Colorante alimentario Hacendado
Formato: 0.085 kg
Precio de origen: 0.95 € por envase/pieza o formato publicado
Valor de la celda: 0.95 €/ud.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https://cestio.es/mercadona/aceite-especias-y-salsas?page=1</t>
      </text>
    </comment>
    <comment ref="G157" authorId="2" shapeId="0">
      <text>
        <t>Producto consultado: LE GUSTO Colorante alimentario, 60 g
Formato: 60 g
Precio de origen: 0.67 € por envase/pieza o formato publicado
Valor de la celda: 0.67 €/ud.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https://www.aldi.es/producto/colorante-alimentario-316800.html</t>
      </text>
    </comment>
    <comment ref="I157" authorId="1" shapeId="0">
      <text>
        <t>Producto consultado: DUCROS Colorante Alimentario Tarro 60 Gr
Formato: 60 Gr
Precio de origen: 2.19 € por envase/pieza o formato publicado
Valor de la celda: 2.19 €/ud.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https://tienda.consum.es/es/c/despensa/conservas-aceites-y-condimentos/sal-bicarbonato-y-especias/especias/1615</t>
      </text>
    </comment>
    <comment ref="E158" authorId="1" shapeId="0">
      <text>
        <t>Producto consultado: Comino molido Hacendado
Formato: 0.058 kg
Precio de origen: 1.15 € por envase/pieza o formato publicado
Valor de la celda: 1.15 €/ud.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https://cestio.es/mercadona/aceite-especias-y-salsas?page=1</t>
      </text>
    </comment>
    <comment ref="G158" authorId="2" shapeId="0">
      <text>
        <t>Producto consultado: LE GUSTO Comino molido, 45 g
Formato: 45 g
Precio de origen: 0.89 € por envase/pieza o formato publicado
Valor de la celda: 0.89 €/ud.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https://www.aldi.es/producto/comino-molido-897000.html</t>
      </text>
    </comment>
    <comment ref="I158" authorId="1" shapeId="0">
      <text>
        <t>Producto consultado: DUCROS Comino Entero Tarro 35 Gr
Formato: 35 Gr
Precio de origen: 2.39 € por envase/pieza o formato publicado
Valor de la celda: 2.39 €/ud.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https://tienda.consum.es/es/c/despensa/conservas-aceites-y-condimentos/sal-bicarbonato-y-especias/especias/1615</t>
      </text>
    </comment>
    <comment ref="E159" authorId="1" shapeId="0">
      <text>
        <t>Producto consultado: Curry Hacendado
Formato: 0.057 kg
Precio de origen: 1.10 € por envase/pieza o formato publicado
Valor de la celda: 1.10 €/ud.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https://cestio.es/mercadona/aceite-especias-y-salsas?page=1</t>
      </text>
    </comment>
    <comment ref="G159" authorId="2" shapeId="0">
      <text>
        <t>Producto consultado: LE GUSTO Curry, 45 g
Formato: 45 g
Precio de origen: 0.69 € por envase/pieza o formato publicado
Valor de la celda: 0.69 €/ud.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https://www.aldi.es/producto/curry-958800.html</t>
      </text>
    </comment>
    <comment ref="I159" authorId="1" shapeId="0">
      <text>
        <t>Producto consultado: DUCROS Curry Tarro 42 Gr
Formato: 42 Gr
Precio de origen: 2.59 € por envase/pieza o formato publicado
Valor de la celda: 2.59 €/ud.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https://tienda.consum.es/es/c/despensa/conservas-aceites-y-condimentos/sal-bicarbonato-y-especias/especias/1615</t>
      </text>
    </comment>
    <comment ref="E160" authorId="1" shapeId="0">
      <text>
        <t>Producto consultado: Ketchup Hacendado
Formato: 0.6 kg
Precio de origen: 1.05 € por envase/pieza o formato publicado
Valor de la celda: 1.05 €/ud.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https://cestio.es/mercadona/aceite-especias-y-salsas</t>
      </text>
    </comment>
    <comment ref="G160" authorId="2" shapeId="0">
      <text>
        <t>Producto consultado: LE GUSTO Kétchup, 560 g
Formato: 560 g
Precio de origen: 0.95 € por envase/pieza o formato publicado
Valor de la celda: 0.95 €/ud.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https://www.aldi.es/producto/ketchup-252500.html</t>
      </text>
    </comment>
    <comment ref="E161" authorId="1" shapeId="0">
      <text>
        <t>Producto consultado: Hoja de laurel Hacendado
Formato: 0.012 kg
Precio de origen: 0.85 € por envase/pieza o formato publicado
Valor de la celda: 0.85 €/ud.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https://cestio.es/mercadona/aceite-especias-y-salsas?page=1</t>
      </text>
    </comment>
    <comment ref="I161" authorId="1" shapeId="0">
      <text>
        <t>Producto consultado: SABATER Laurel en Hojas Caja 15 Gr
Formato: 15 Gr
Precio de origen: 0.99 € por envase/pieza o formato publicado
Valor de la celda: 0.99 €/ud.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https://tienda.consum.es/es/c/despensa/conservas-aceites-y-condimentos/sal-bicarbonato-y-especias/especias/1615</t>
      </text>
    </comment>
    <comment ref="E162" authorId="1" shapeId="0">
      <text>
        <t>Producto consultado: Mayonesa Hacendado
Formato: 0.24 l
Precio de origen: 1.00 € por envase/pieza o formato publicado
Valor de la celda: 1.00 €/ud.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https://cestio.es/mercadona/aceite-especias-y-salsas</t>
      </text>
    </comment>
    <comment ref="G162" authorId="2" shapeId="0">
      <text>
        <t>Producto consultado: LA VILLA Mayonesa, 475 ml
Formato: 475 ml
Precio de origen: 1.32 € por envase/pieza o formato publicado
Valor de la celda: 1.32 €/ud.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https://www.aldi.es/producto/mayonesa-765800.html</t>
      </text>
    </comment>
    <comment ref="I162" authorId="1" shapeId="0">
      <text>
        <t>Producto consultado: HELLMANN'S Mayonesa Tarro Cristal 450 ml
Formato: 450 ml
Precio de origen: 2.95 € por envase/pieza o formato publicado
Valor de la celda: 2.95 €/ud.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https://tienda.consum.es/es/c/despensa/conservas-aceites-y-condimentos/1525</t>
      </text>
    </comment>
    <comment ref="E163" authorId="1" shapeId="0">
      <text>
        <t>Producto consultado: Mostaza clásica Hacendado
Formato: 0.388 kg
Precio de origen: 1.25 € por envase/pieza o formato publicado
Valor de la celda: 1.25 €/ud.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https://cestio.es/mercadona/aceite-especias-y-salsas</t>
      </text>
    </comment>
    <comment ref="G163" authorId="2" shapeId="0">
      <text>
        <t>Producto consultado: LA VILLA Mostaza de dijon, 200 g
Formato: 200 g
Precio de origen: 1.09 € por envase/pieza o formato publicado
Valor de la celda: 1.09 €/ud.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https://www.aldi.es/producto/mostaza-de-dijon-256301.html</t>
      </text>
    </comment>
    <comment ref="I163" authorId="1" shapeId="0">
      <text>
        <t>Producto consultado: MAILLE Mostaza Dijón Originale Frasco 215 Gr
Formato: 215 Gr
Precio de origen: 3.69 € por envase/pieza o formato publicado
Valor de la celda: 3.69 €/ud.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https://tienda.consum.es/es/c/despensa/conservas-aceites-y-condimentos/1525</t>
      </text>
    </comment>
    <comment ref="E164" authorId="1" shapeId="0">
      <text>
        <t>Producto consultado: Orégano Hacendado
Formato: 0.025 kg
Precio de origen: 1.00 € por envase/pieza o formato publicado
Valor de la celda: 1.00 €/ud.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https://cestio.es/mercadona/aceite-especias-y-salsas</t>
      </text>
    </comment>
    <comment ref="G164" authorId="2" shapeId="0">
      <text>
        <t>Producto consultado: LE GUSTO Orégano, 12 g
Formato: 12 g
Precio de origen: 1.00 € por envase/pieza o formato publicado
Valor de la celda: 1.00 €/ud.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https://www.aldi.es/producto/oregano-601811701.html</t>
      </text>
    </comment>
    <comment ref="H164" authorId="1" shapeId="0">
      <text>
        <t>Producto consultado: Orégano Carrefour Classic 11 g.
Formato: 11 g
Precio de origen: 0.46 € por envase/pieza o formato publicado
Valor de la celda: 0.46 €/ud.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https://www.carrefour.es/supermercado/la-despensa/alimentacion/especias-y-sazonadores/cat20069/c</t>
      </text>
    </comment>
    <comment ref="I164" authorId="1" shapeId="0">
      <text>
        <t>Producto consultado: DUCROS Orégano Tarro 10 Gr
Formato: 10 Gr
Precio de origen: 2.69 € por envase/pieza o formato publicado
Valor de la celda: 2.69 €/ud.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https://tienda.consum.es/es/c/despensa/conservas-aceites-y-condimentos/sal-bicarbonato-y-especias/especias/1615</t>
      </text>
    </comment>
    <comment ref="E165" authorId="1" shapeId="0">
      <text>
        <t>Producto consultado: Salsa Pesto con albahaca Hacendado
Formato: 0.19 kg
Precio de origen: 1.95 € por envase/pieza o formato publicado
Valor de la celda: 1.95 €/ud.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https://cestio.es/mercadona/aceite-especias-y-salsas?page=1</t>
      </text>
    </comment>
    <comment ref="G165" authorId="2" shapeId="0">
      <text>
        <t>Producto consultado: CUCINA Pesto alla genovese, 190 g
Formato: 190 g
Precio de origen: 1.85 € por envase/pieza o formato publicado
Valor de la celda: 1.85 €/ud.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https://www.aldi.es/producto/pesto-alla-genovese-261403.html</t>
      </text>
    </comment>
    <comment ref="E166" authorId="1" shapeId="0">
      <text>
        <t>Producto consultado: Pimentón dulce Hacendado
Formato: 0.075 kg
Precio de origen: 1.30 € por envase/pieza o formato publicado
Valor de la celda: 1.30 €/ud.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https://cestio.es/mercadona/aceite-especias-y-salsas?page=1</t>
      </text>
    </comment>
    <comment ref="G166" authorId="2" shapeId="0">
      <text>
        <t>Producto consultado: LE GUSTO Pimentón dulce, 50 g kilo
Formato: 50 g kilo
Precio de origen: 1.19 € por envase/pieza o formato publicado
Valor de la celda: 1.19 €/ud.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https://www.aldi.es/producto/pimenton-dulce-601613300.html</t>
      </text>
    </comment>
    <comment ref="H166" authorId="1" shapeId="0">
      <text>
        <t>Producto consultado: Pimentón dulce Carrefour Classic 45 g.
Formato: 45 g
Precio de origen: 0.87 € por envase/pieza o formato publicado
Valor de la celda: 0.87 €/ud.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https://www.carrefour.es/supermercado/la-despensa/alimentacion/especias-y-sazonadores/cat20069/c</t>
      </text>
    </comment>
    <comment ref="I166" authorId="1" shapeId="0">
      <text>
        <t>Producto consultado: SABATER Pimentón Dulce Lata 75 Gr
Formato: 75 Gr
Precio de origen: 2.29 € por envase/pieza o formato publicado
Valor de la celda: 2.29 €/ud.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https://tienda.consum.es/es/c/despensa/conservas-aceites-y-condimentos/sal-bicarbonato-y-especias/especias/1615</t>
      </text>
    </comment>
    <comment ref="E167" authorId="1" shapeId="0">
      <text>
        <t>Producto consultado: Pimienta negra molida Hacendado
Formato: 0.07 kg
Precio de origen: 1.30 € por envase/pieza o formato publicado
Valor de la celda: 1.30 €/ud.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https://cestio.es/mercadona/aceite-especias-y-salsas?page=1</t>
      </text>
    </comment>
    <comment ref="G167" authorId="2" shapeId="0">
      <text>
        <t>Producto consultado: LE GUSTO Pimienta negra molida, 50 g
Formato: 50 g
Precio de origen: 0.75 € por envase/pieza o formato publicado
Valor de la celda: 0.75 €/ud.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https://www.aldi.es/producto/pimienta-negra-molida-870700.html</t>
      </text>
    </comment>
    <comment ref="H167" authorId="1" shapeId="0">
      <text>
        <t>Producto consultado: Pimienta negra molida Carrefour 45 g.
Formato: 45 g
Precio de origen: 0.85 € por envase/pieza o formato publicado
Valor de la celda: 0.85 €/ud.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https://www.carrefour.es/supermercado/la-despensa/alimentacion/especias-y-sazonadores/cat20069/c</t>
      </text>
    </comment>
    <comment ref="I167" authorId="1" shapeId="0">
      <text>
        <t>Producto consultado: DUCROS Pimienta Negra Molida Tarro 40 Gr
Formato: 40 Gr
Precio de origen: 3.59 € por envase/pieza o formato publicado
Valor de la celda: 3.59 €/ud.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https://tienda.consum.es/es/c/despensa/conservas-aceites-y-condimentos/sal-bicarbonato-y-especias/especias/1615</t>
      </text>
    </comment>
    <comment ref="E168" authorId="1" shapeId="0">
      <text>
        <t>Producto consultado: Sal fina Hacendado
Formato: 1 kg
Precio de origen: 0.40 € por envase/pieza o formato publicado
Valor de la celda: 0.40 €/ud.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https://cestio.es/mercadona/aceite-especias-y-salsas</t>
      </text>
    </comment>
    <comment ref="G168" authorId="2" shapeId="0">
      <text>
        <t>Producto consultado: LA VILLA Sal marina  fina yodada, 1 kg
Formato: 1 kg
Precio de origen: 0.38 € por envase/pieza o formato publicado
Valor de la celda: 0.38 €/ud.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https://www.aldi.es/producto/sal-marina-fina-yodada-250600.html</t>
      </text>
    </comment>
    <comment ref="I168" authorId="1" shapeId="0">
      <text>
        <t>Producto consultado: CONSUM Sal Fina Bolsa 1000 Gr
Formato: 1000 Gr
Precio de origen: 0.40 € por envase/pieza o formato publicado
Valor de la celda: 0.40 €/ud.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https://tienda.consum.es/es/c/despensa/conservas-aceites-condimentos/sal-bicarbonato-especias/1601</t>
      </text>
    </comment>
    <comment ref="E169" authorId="1" shapeId="0">
      <text>
        <t>Producto consultado: Salsa Barbacoa Hacendado
Formato: 0.35 kg
Precio de origen: 1.15 € por envase/pieza o formato publicado
Valor de la celda: 1.15 €/ud.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https://cestio.es/mercadona/aceite-especias-y-salsas</t>
      </text>
    </comment>
    <comment ref="E170" authorId="1" shapeId="0">
      <text>
        <t>Producto consultado: Salsa de Soja Hacendado
Formato: 0.25 l
Precio de origen: 1.20 € por envase/pieza o formato publicado
Valor de la celda: 1.20 €/ud.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https://cestio.es/mercadona/aceite-especias-y-salsas</t>
      </text>
    </comment>
    <comment ref="G170" authorId="2" shapeId="0">
      <text>
        <t>Producto consultado: ASIA GREEN GARDEN Salsa de soja, 250 ml
Formato: 250 ml
Precio de origen: 1.15 € por envase/pieza o formato publicado
Valor de la celda: 1.15 €/ud.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https://www.aldi.es/producto/salsa-de-soja-481500.html</t>
      </text>
    </comment>
    <comment ref="E171" authorId="1" shapeId="0">
      <text>
        <t>Producto consultado: Tomate frito Hacendado
Formato: 0.56 kg
Precio de origen: 0.90 € por envase/pieza o formato publicado
Valor de la celda: 0.90 €/ud.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https://cestio.es/mercadona/conservas-caldos-y-cremas</t>
      </text>
    </comment>
    <comment ref="G171" authorId="2" shapeId="0">
      <text>
        <t>Producto consultado: ALL SEASONS Tomate frito, 550 g
Formato: 550 g
Precio de origen: 0.76 € por envase/pieza o formato publicado
Valor de la celda: 0.76 €/ud.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https://www.aldi.es/producto/tomate-frito-506400.html</t>
      </text>
    </comment>
    <comment ref="H171" authorId="1" shapeId="0">
      <text>
        <t>Producto consultado: Tomate frito Orlando sin gluten pack de 3 unidades de 350 g.
Formato: 350 g
Precio de origen: 2.89 € por envase/pieza o formato publicado
Valor de la celda: 2.89 €/ud.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https://www.carrefour.es/supermercado/la-despensa/alimentacion/cat20009/c</t>
      </text>
    </comment>
    <comment ref="I171" authorId="1" shapeId="0">
      <text>
        <t>Producto consultado: HIDA Tomate Frito Lata 400 Gr
Formato: 400 Gr
Precio de origen: 1.55 € por envase/pieza o formato publicado
Valor de la celda: 1.55 €/ud.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https://tienda.consum.es/es/c/despensa/conservas-aceites-y-condimentos/1525</t>
      </text>
    </comment>
    <comment ref="E172" authorId="1" shapeId="0">
      <text>
        <t>Producto consultado: Tomate triturado Hacendado
Formato: 0.4 kg
Precio de origen: 0.55 € por envase/pieza o formato publicado
Valor de la celda: 0.55 €/ud.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https://cestio.es/mercadona/conservas-caldos-y-cremas</t>
      </text>
    </comment>
    <comment ref="G172" authorId="2" shapeId="0">
      <text>
        <t>Producto consultado: ALL SEASONS Tomate triturado, 400 g
Formato: 400 g
Precio de origen: 0.47 € por envase/pieza o formato publicado
Valor de la celda: 0.47 €/ud.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https://www.aldi.es/producto/tomate-triturado-600536800.html</t>
      </text>
    </comment>
    <comment ref="H172" authorId="1" shapeId="0">
      <text>
        <t>Producto consultado: Tomate triturado Classic Carrefour lata de 390 g.
Formato: 390 g
Precio de origen: 0.53 € por envase/pieza o formato publicado
Valor de la celda: 0.53 €/ud.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https://www.carrefour.es/supermercado/la-despensa/conservas-sopas-y-precocinados/cat20013/c</t>
      </text>
    </comment>
    <comment ref="I172" authorId="1" shapeId="0">
      <text>
        <t>Producto consultado: CONSUM Tomate Triturado Lata 400 Gr
Formato: 400 Gr
Precio de origen: 0.55 € por envase/pieza o formato publicado
Valor de la celda: 0.55 €/ud.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https://tienda.consum.es/es/c/despensa/conservas-aceites-y-condimentos/1525</t>
      </text>
    </comment>
    <comment ref="E173" authorId="1" shapeId="0">
      <text>
        <t>Producto consultado: Vinagre de vino blanco Hacendado
Formato: 1 l
Precio de origen: 0.65 € por envase/pieza o formato publicado
Valor de la celda: 0.65 €/ud.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https://cestio.es/mercadona/aceite-especias-y-salsas</t>
      </text>
    </comment>
    <comment ref="G173" authorId="2" shapeId="0">
      <text>
        <t>Producto consultado: LA VILLA Vinagre de vino blanco, 1 l
Formato: 1 l
Precio de origen: 0.62 € por envase/pieza o formato publicado
Valor de la celda: 0.62 €/ud.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https://www.aldi.es/producto/vinagre-de-vino-blanco-250000.html</t>
      </text>
    </comment>
    <comment ref="H173" authorId="1" shapeId="0">
      <text>
        <t>Producto consultado: Vinagre de vino blanco Carrefour Classic 1 l.
Formato: 1 l
Precio de origen: 0.62 € por envase/pieza o formato publicado
Valor de la celda: 0.62 €/ud.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https://www.carrefour.es/supermercado/la-despensa/aceites-y-vinagres/cat33207691/c</t>
      </text>
    </comment>
    <comment ref="I173" authorId="1" shapeId="0">
      <text>
        <t>Producto consultado: CONSUM Vinagre de Vino Blanco 1000 ml
Formato: 1000 ml
Precio de origen: 0.65 € por envase/pieza o formato publicado
Valor de la celda: 0.65 €/ud.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https://tienda.consum.es/es/c/despensa/conservas-aceites-y-condimentos/aceite-vinagre/1526</t>
      </text>
    </comment>
    <comment ref="E174" authorId="1" shapeId="0">
      <text>
        <t>Producto consultado: Aceitunas verdes rellenas de anchoa Hacendado
Formato: 0.35 kg
Precio de origen: 1.05 € por envase/pieza o formato publicado
Valor de la celda: 1.05 €/ud.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https://cestio.es/mercadona/aperitivos</t>
      </text>
    </comment>
    <comment ref="G174" authorId="2" shapeId="0">
      <text>
        <t>Producto consultado: EL CULTIVADOR Aceitunas rellenas de anchoa, 3 x 50 g peso esc.
Formato: 3 x 50 g peso esc.
Precio de origen: 1.65 € por envase/pieza o formato publicado
Valor de la celda: 1.65 €/ud.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https://www.aldi.es/producto/aceitunas-rellenas-de-anchoa-510300.html</t>
      </text>
    </comment>
    <comment ref="E175" authorId="1" shapeId="0">
      <text>
        <t>Producto consultado: Corazones de alcachofa Hacendado
Formato: 0.43 kg
Precio de origen: 2.15 € por envase/pieza o formato publicado
Valor de la celda: 2.15 €/ud.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https://cestio.es/mercadona/conservas-caldos-y-cremas?page=1</t>
      </text>
    </comment>
    <comment ref="I175" authorId="1" shapeId="0">
      <text>
        <t>Producto consultado: PELLI Carne de Alcachofas Lata 240 Gr
Formato: 240 Gr
Precio de origen: 2.35 € por envase/pieza o formato publicado
Valor de la celda: 2.35 €/ud.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https://tienda.consum.es/es/c/despensa/conservas-aceites-y-condimentos/conservas-vegetales/1577</t>
      </text>
    </comment>
    <comment ref="E176" authorId="1" shapeId="0">
      <text>
        <t>Producto consultado: Atún claro en aceite de girasol Hacendado
Formato: 0.48 kg
Precio de origen: 4.20 € por envase/pieza o formato publicado
Valor de la celda: 4.20 €/ud.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https://cestio.es/mercadona/conservas-caldos-y-cremas?page=1</t>
      </text>
    </comment>
    <comment ref="G176" authorId="2" shapeId="0">
      <text>
        <t>Producto consultado: SAL DE PLATA Atún claro en aceite de girasol, 3x52 g peso esc.
Formato: 3x52 g peso esc.
Precio de origen: 2.19 € por envase/pieza o formato publicado
Valor de la celda: 2.19 €/ud.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https://www.aldi.es/producto/atun-claro-en-aceite-de-girasol-600772200.html</t>
      </text>
    </comment>
    <comment ref="H176" authorId="1" shapeId="0">
      <text>
        <t>Producto consultado: Atún claro en aceite de girasol Carrefour pack de 6 latas de 52 g.
Formato: 52 g
Precio de origen: 3.75 € por envase/pieza o formato publicado
Valor de la celda: 3.75 €/ud.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https://www.carrefour.es/supermercado/la-despensa/conservas-sopas-y-precocinados/conservas-de-pescado-y-marisco/cat20111/c</t>
      </text>
    </comment>
    <comment ref="G177" authorId="2" shapeId="0">
      <text>
        <t>Producto consultado: SAL DE PLATA Berberechos al natural, 63 g peso esc.
Formato: 63 g peso esc.
Precio de origen: 3.09 € por envase/pieza o formato publicado
Valor de la celda: 3.09 €/ud.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https://www.aldi.es/producto/berberechos-al-natural-662600.html</t>
      </text>
    </comment>
    <comment ref="E178" authorId="1" shapeId="0">
      <text>
        <t>Producto consultado: Yemas de espárragos Hacendado
Formato: 0.31 kg
Precio de origen: 3.25 € por envase/pieza o formato publicado
Valor de la celda: 3.25 €/ud.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https://cestio.es/mercadona/conservas-caldos-y-cremas?page=1</t>
      </text>
    </comment>
    <comment ref="G178" authorId="2" shapeId="0">
      <text>
        <t>Producto consultado: ALL SEASONS Espárragos blancos, 205 g peso esc.
Formato: 205 g peso esc.
Precio de origen: 1.99 € por envase/pieza o formato publicado
Valor de la celda: 1.99 €/ud.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https://www.aldi.es/producto/esparragos-blancos-503400.html</t>
      </text>
    </comment>
    <comment ref="H178" authorId="1" shapeId="0">
      <text>
        <t>Producto consultado: Espárrago blanco Carrefour 205 g.
Formato: 205 g
Precio de origen: 2.05 € por envase/pieza o formato publicado
Valor de la celda: 2.05 €/ud.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https://www.carrefour.es/supermercado/la-despensa/conservas-sopas-y-precocinados/conservas-de-vegetales/cat20113/c</t>
      </text>
    </comment>
    <comment ref="I178" authorId="1" shapeId="0">
      <text>
        <t>Producto consultado: CONSUM Yemas de Espárragos Extra Frasco 110 Gr
Formato: 110 Gr
Precio de origen: 1.89 € por envase/pieza o formato publicado
Valor de la celda: 1.89 €/ud.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https://tienda.consum.es/es/c/despensa/conservas-aceites-y-condimentos/conservas-vegetales/1577</t>
      </text>
    </comment>
    <comment ref="E179" authorId="1" shapeId="0">
      <text>
        <t>Producto consultado: Maíz dulce Hacendado
Formato: 0.45 kg
Precio de origen: 1.55 € por envase/pieza o formato publicado
Valor de la celda: 1.55 €/ud.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https://cestio.es/mercadona/conservas-caldos-y-cremas</t>
      </text>
    </comment>
    <comment ref="H179" authorId="1" shapeId="0">
      <text>
        <t>Producto consultado: Maíz dulce Classic Carrefour sin sal y azúcar añadido pack de 3 latas de 140 g.
Formato: 140 g
Precio de origen: 1.55 € por envase/pieza o formato publicado
Valor de la celda: 1.55 €/ud.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https://www.carrefour.es/supermercado/la-despensa/conservas-sopas-y-precocinados/conservas-de-vegetales/cat20113/c</t>
      </text>
    </comment>
    <comment ref="E180" authorId="1" shapeId="0">
      <text>
        <t>Producto consultado: Mejillones de Chile en escabeche Hacendado pequeños
Formato: 0.35 kg
Precio de origen: 2.65 € por envase/pieza o formato publicado
Valor de la celda: 2.65 €/ud.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https://cestio.es/mercadona/conservas-caldos-y-cremas?page=1</t>
      </text>
    </comment>
    <comment ref="G180" authorId="2" shapeId="0">
      <text>
        <t>Producto consultado: SAL DE PLATA Mejillones en escabeche, 3 x 43 g peso esc.
Formato: 3 x 43 g peso esc.
Precio de origen: 2.29 € por envase/pieza o formato publicado
Valor de la celda: 2.29 €/ud.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https://www.aldi.es/producto/mejillones-en-escabeche-843500.html</t>
      </text>
    </comment>
    <comment ref="I180" authorId="1" shapeId="0">
      <text>
        <t>Producto consultado: CALVO Mejillones Gallegos Escabeche 13/18 Piezas 69 Gr
Formato: 69 Gr
Precio de origen: 2.49 € por envase/pieza o formato publicado
Valor de la celda: 2.49 €/ud.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https://tienda.consum.es/es/c/despensa/conservas-aceites-y-condimentos/conservas-pescado/1542</t>
      </text>
    </comment>
    <comment ref="E181" authorId="1" shapeId="0">
      <text>
        <t>Producto consultado: Melocotón en almíbar Hacendado
Formato: 0.84 kg
Precio de origen: 1.95 € por envase/pieza o formato publicado
Valor de la celda: 1.95 €/ud.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https://cestio.es/mercadona/conservas-caldos-y-cremas</t>
      </text>
    </comment>
    <comment ref="E182" authorId="1" shapeId="0">
      <text>
        <t>Producto consultado: Paté de jamón Hacendado
Formato: 0.16 kg
Precio de origen: 1.10 € por envase/pieza o formato publicado
Valor de la celda: 1.10 €/ud.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https://cestio.es/mercadona/charcuteria-y-quesos</t>
      </text>
    </comment>
    <comment ref="G182" authorId="2" shapeId="0">
      <text>
        <t>Producto consultado: LA TABLA Paté de cerdo a la pimienta, 160 g
Formato: 160 g
Precio de origen: 1.09 € por envase/pieza o formato publicado
Valor de la celda: 1.09 €/ud.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https://www.aldi.es/producto/pate-de-cerdo-a-la-pimienta-601352501.html</t>
      </text>
    </comment>
    <comment ref="H182" authorId="1" shapeId="0">
      <text>
        <t>Producto consultado: Paté de hígado de cerdo Classic Carrefour pack de 4 unidades de 78 g.
Formato: 78 g
Precio de origen: 2.09 € por envase/pieza o formato publicado
Valor de la celda: 2.09 €/ud.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https://www.carrefour.es/supermercado/frescos/charcuteria/cat20017/c</t>
      </text>
    </comment>
    <comment ref="I182" authorId="1" shapeId="0">
      <text>
        <t>Producto consultado: CONSUM Pate Hígado de Cerdo Lata 200 Gr
Formato: 200 Gr
Precio de origen: 1.25 € por envase/pieza o formato publicado
Valor de la celda: 1.25 €/ud.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https://tienda.consum.es/es/c/frescos/charcuteria/2005</t>
      </text>
    </comment>
    <comment ref="E183" authorId="1" shapeId="0">
      <text>
        <t>Producto consultado: Pepinillos en vinagre Hacendado
Formato: 0.42 kg
Precio de origen: 1.45 € por envase/pieza o formato publicado
Valor de la celda: 1.45 €/ud.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https://cestio.es/mercadona/aperitivos</t>
      </text>
    </comment>
    <comment ref="G183" authorId="2" shapeId="0">
      <text>
        <t>Producto consultado: ALL SEASONS Pepinillos agridulces, 360 g peso esc.
Formato: 360 g peso esc.
Precio de origen: 1.59 € por envase/pieza o formato publicado
Valor de la celda: 1.59 €/ud.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https://www.aldi.es/producto/pepinillos-agridulces-510000.html</t>
      </text>
    </comment>
    <comment ref="E184" authorId="1" shapeId="0">
      <text>
        <t>Producto consultado: Pimientos del piquillo enteros Hacendado extra
Formato: 0.34 kg
Precio de origen: 1.45 € por envase/pieza o formato publicado
Valor de la celda: 1.45 €/ud.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https://cestio.es/mercadona/conservas-caldos-y-cremas</t>
      </text>
    </comment>
    <comment ref="G184" authorId="2" shapeId="0">
      <text>
        <t>Producto consultado: ALL SEASONS Pimientos del piquillo, 225 g peso esc.
Formato: 225 g peso esc.
Precio de origen: 0.99 € por envase/pieza o formato publicado
Valor de la celda: 0.99 €/ud.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https://www.aldi.es/producto/pimientos-del-piquillo-504700.html</t>
      </text>
    </comment>
    <comment ref="H184" authorId="1" shapeId="0">
      <text>
        <t>Producto consultado: Pimientos del Piquillo asados en tiras primera Classic Carrefour 225 g.
Formato: 225 g
Precio de origen: 1.10 € por envase/pieza o formato publicado
Valor de la celda: 1.10 €/ud.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https://www.carrefour.es/supermercado/la-despensa/conservas-sopas-y-precocinados/conservas-de-vegetales/cat20113/c</t>
      </text>
    </comment>
    <comment ref="I184" authorId="1" shapeId="0">
      <text>
        <t>Producto consultado: CONSUM Pimientos Piquillo Entero 8/12 Piezas Frasco 225 Gr
Formato: 225 Gr
Precio de origen: 1.19 € por envase/pieza o formato publicado
Valor de la celda: 1.19 €/ud.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https://tienda.consum.es/es/c/despensa/conservas-aceites-y-condimentos/conservas-vegetales/1577</t>
      </text>
    </comment>
    <comment ref="G185" authorId="2" shapeId="0">
      <text>
        <t>Producto consultado: SAL DE PLATA Sardinas en aceite de oliva, 2 x 84 g peso esc.
Formato: 2 x 84 g peso esc.
Precio de origen: 2.75 € por envase/pieza o formato publicado
Valor de la celda: 2.75 €/ud.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https://www.aldi.es/producto/sardinas-en-aceite-de-oliva-601874700.html</t>
      </text>
    </comment>
    <comment ref="I185" authorId="1" shapeId="0">
      <text>
        <t>Producto consultado: CALVO Sardinas en Aceite Oliva Lata 84 Gr
Formato: 84 Gr
Precio de origen: 1.99 € por envase/pieza o formato publicado
Valor de la celda: 1.99 €/ud.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https://tienda.consum.es/es/c/despensa/conservas-aceites-y-condimentos/conservas-pescado/1542</t>
      </text>
    </comment>
    <comment ref="E186" authorId="1" shapeId="0">
      <text>
        <t>Producto consultado: Azúcar blanco Hacendado
Formato: 1 kg
Precio de origen: 0.90 € por envase/pieza o formato publicado
Valor de la celda: 0.90 €/kg.
 Importe por kg calculado a partir del precio y cantidad registrados por Cestio; en piezas a peso es aproximado.
Consultado: 04/10/2026. Fecha de registro de fuente: 2026-10-03.
Fuente indirecta: Cestio, precio registrado para Mercadona; no confirmado directamente en tienda.
URL: https://cestio.es/mercadona/azucar-caramelos-y-chocolate</t>
      </text>
    </comment>
    <comment ref="H186" authorId="1" shapeId="0">
      <text>
        <t>Producto consultado: Azúcar blanco Carrefour Classic 1 kg.
Formato: 1 kg
Precio de origen: 0.90 € por envase/pieza o formato publicado
Valor de la celda: 0.90 €/kg.
Consultado: 04/10/2026. Fecha de registro de fuente: 2026-10-04.
Fuente: web pública de Carrefour. La tienda, zona y disponibilidad pueden cambiar el precio.
URL: https://www.carrefour.es/supermercado/la-despensa/desayuno/cat26100390/c</t>
      </text>
    </comment>
    <comment ref="E187" authorId="1" shapeId="0">
      <text>
        <t>Producto consultado: Barritas de cereales avena y cacao Hacendado
Formato: 0.14 kg
Precio de origen: 1.45 € por envase/pieza o formato publicado
Valor de la celda: 1.45 €/ud.
ud significa el envase, pack o pieza descrito; no una unidad interna del multipack.
Consultado: 04/10/2026. Fecha de registro de fuente: 2026-09-24.
Fuente indirecta: Cestio, precio registrado para Mercadona; no confirmado directamente en tienda.
URL: https://cestio.es/mercadona/cereales-y-galletas?page=1</t>
      </text>
    </comment>
    <comment ref="G187" authorId="2" shapeId="0">
      <text>
        <t>Producto consultado: GOLDEN BRIDGE Barritas de cereales con chocolate, 126 g
Formato: 126 g
Precio de origen: 1.48 € por envase/pieza o formato publicado
Valor de la celda: 1.48 €/ud.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https://www.aldi.es/producto/barritas-de-cereales-con-chocolate-600761401.html</t>
      </text>
    </comment>
    <comment ref="E188" authorId="1" shapeId="0">
      <text>
        <t>Producto consultado: Cacao en polvo a la taza Hacendado
Formato: 0.4 kg
Precio de origen: 1.85 € por envase/pieza o formato publicado
Valor de la celda: 1.85 €/ud.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https://cestio.es/mercadona/cacao-cafe-e-infusiones</t>
      </text>
    </comment>
    <comment ref="G188" authorId="2" shapeId="0">
      <text>
        <t>Producto consultado: CHOCEUR Cacao soluble, 1 kg
Formato: 1 kg
Precio de origen: 4.79 € por envase/pieza o formato publicado
Valor de la celda: 4.79 €/ud.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https://www.aldi.es/producto/cacao-soluble-601872800.html</t>
      </text>
    </comment>
    <comment ref="I188" authorId="1" shapeId="0">
      <text>
        <t>Producto consultado: VALOR Cacao Puro en Polvo sin Azúcar 250 Gr
Formato: 250 Gr
Precio de origen: 6.75 € por envase/pieza o formato publicado
Valor de la celda: 6.75 €/ud.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https://tienda.consum.es/es/c/despensa/desayuno-dulces-y-cafe/cacao-y-cereales-solubles/5036</t>
      </text>
    </comment>
    <comment ref="E189" authorId="1" shapeId="0">
      <text>
        <t>Producto consultado: Café en cápsula forte Hacendado
Formato: 0.112 kg
Precio de origen: 3.25 € por envase/pieza o formato publicado
Valor de la celda: 3.25 €/ud.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https://cestio.es/mercadona/cacao-cafe-e-infusiones</t>
      </text>
    </comment>
    <comment ref="G189" authorId="2" shapeId="0">
      <text>
        <t>Producto consultado: BARISSIMO Cápsulas de café espresso, 20 cápsulas
Formato: 20 cápsulas
Precio de origen: 3.65 € por envase/pieza o formato publicado
Valor de la celda: 3.65 €/ud.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https://www.aldi.es/producto/capsulas-de-cafe-espresso-600601901.html</t>
      </text>
    </comment>
    <comment ref="H189" authorId="1" shapeId="0">
      <text>
        <t>Producto consultado: Café cápsulas ristretto Nescafé Roastery compatible con Nespresso 20 ud.
Formato: 20 ud
Precio de origen: 4.99 € por envase/pieza o formato publicado
Valor de la celda: 4.99 €/ud.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https://www.carrefour.es/supermercado/la-despensa/desayuno/cat26100390/c</t>
      </text>
    </comment>
    <comment ref="I189" authorId="1" shapeId="0">
      <text>
        <t>Producto consultado: DOLCE GUSTO Café Espresso Intenso 30 Cápsulas 30 U
Formato: 30 U
Precio de origen: 8.55 € por envase/pieza o formato publicado
Valor de la celda: 8.55 €/ud.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https://tienda.consum.es/es/c/despensa/desayuno-dulces-y-cafe/cafe-capsulas/1878</t>
      </text>
    </comment>
    <comment ref="E190" authorId="1" shapeId="0">
      <text>
        <t>Producto consultado: Café molido mezcla Hacendado
Formato: 0.25 kg
Precio de origen: 2.50 € por envase/pieza o formato publicado
Valor de la celda: 2.50 €/ud.
ud significa el envase, pack o pieza descrito; no una unidad interna del multipack.
Consultado: 04/10/2026. Fecha de registro de fuente: 2026-10-04.
Fuente indirecta: Cestio, precio registrado para Mercadona; no confirmado directamente en tienda.
URL: https://cestio.es/mercadona/cacao-cafe-e-infusiones?page=1</t>
      </text>
    </comment>
    <comment ref="G190" authorId="2" shapeId="0">
      <text>
        <t>Producto consultado: BARISSIMO Café molido Gold, 250 g
Formato: 250 g
Precio de origen: 3.25 € por envase/pieza o formato publicado
Valor de la celda: 3.25 €/ud.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https://www.aldi.es/producto/cafe-molido-gold-601790100.html</t>
      </text>
    </comment>
    <comment ref="H190" authorId="1" shapeId="0">
      <text>
        <t>Producto consultado: Café molido mezcla Carrefour Classic 500 g.
Formato: 500 g
Precio de origen: 4.49 € por envase/pieza o formato publicado
Valor de la celda: 4.49 €/ud.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https://www.carrefour.es/supermercado/la-despensa/desayuno/cat26100390/c</t>
      </text>
    </comment>
    <comment ref="I190" authorId="1" shapeId="0">
      <text>
        <t>Producto consultado: MARCILLA Café Express Molido Mezcla 250 Gr
Formato: 250 Gr
Precio de origen: 4.49 € por envase/pieza o formato publicado
Valor de la celda: 4.49 €/ud.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https://tienda.consum.es/es/c/despensa/desayuno-dulces-y-cafe/1852</t>
      </text>
    </comment>
    <comment ref="E191" authorId="1" shapeId="0">
      <text>
        <t>Producto consultado: Café soluble Classic Hacendado
Formato: 0.2 kg
Precio de origen: 3.90 € por envase/pieza o formato publicado
Valor de la celda: 3.90 €/ud.
ud significa el envase, pack o pieza descrito; no una unidad interna del multipack.
Consultado: 04/10/2026. Fecha de registro de fuente: 2026-10-04.
Fuente indirecta: Cestio, precio registrado para Mercadona; no confirmado directamente en tienda.
URL: https://cestio.es/mercadona/cacao-cafe-e-infusiones?page=1</t>
      </text>
    </comment>
    <comment ref="G191" authorId="2" shapeId="0">
      <text>
        <t>Producto consultado: BARISSIMO Café soluble, 200 g
Formato: 200 g
Precio de origen: 3.79 € por envase/pieza o formato publicado
Valor de la celda: 3.79 €/ud.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https://www.aldi.es/producto/cafe-soluble-411000.html</t>
      </text>
    </comment>
    <comment ref="I191" authorId="1" shapeId="0">
      <text>
        <t>Producto consultado: NESCAFE Café Soluble Natural Tarro 100 Gr
Formato: 100 Gr
Precio de origen: 4.75 € por envase/pieza o formato publicado
Valor de la celda: 4.75 €/ud.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https://tienda.consum.es/es/c/despensa/desayuno-dulces-y-cafe/1852</t>
      </text>
    </comment>
    <comment ref="E192" authorId="1" shapeId="0">
      <text>
        <t>Producto consultado: Cereales avena Crunchy Hacendado
Formato: 0.4 kg
Precio de origen: 1.80 € por envase/pieza o formato publicado
Valor de la celda: 1.80 €/ud.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https://cestio.es/mercadona/cereales-y-galletas</t>
      </text>
    </comment>
    <comment ref="G192" authorId="2" shapeId="0">
      <text>
        <t>Producto consultado: GOLDEN BRIDGE Copos de maíz, 500 g
Formato: 500 g
Precio de origen: 1.45 € por envase/pieza o formato publicado
Valor de la celda: 1.45 €/ud.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https://www.aldi.es/producto/copos-de-maiz-600375100.html</t>
      </text>
    </comment>
    <comment ref="H192" authorId="1" shapeId="0">
      <text>
        <t>Producto consultado: Cereales con frutos secos Cruesli Quaker 375 g.
Formato: 375 g
Precio de origen: 5.49 € por envase/pieza o formato publicado
Valor de la celda: 5.49 €/ud.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https://www.carrefour.es/supermercado/la-despensa/desayuno/cereales/cat26100678/c</t>
      </text>
    </comment>
    <comment ref="I192" authorId="1" shapeId="0">
      <text>
        <t>Producto consultado: NESTLE Cereales Trix 300 Gr
Formato: 300 Gr
Precio de origen: 2.99 € por envase/pieza o formato publicado
Valor de la celda: 2.99 €/ud.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https://tienda.consum.es/es/c/despensa/desayuno-dulces-y-cafe/cereales-barritas/1894</t>
      </text>
    </comment>
    <comment ref="E193" authorId="1" shapeId="0">
      <text>
        <t>Producto consultado: Chocolate con leche Milka
Formato: 0.15 kg
Precio de origen: 1.95 € por envase/pieza o formato publicado
Valor de la celda: 1.95 €/ud.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https://cestio.es/mercadona/azucar-caramelos-y-chocolate?page=1</t>
      </text>
    </comment>
    <comment ref="G193" authorId="2" shapeId="0">
      <text>
        <t>Producto consultado: CHOCEUR Chocolate negro 55% cacao, 100 g
Formato: 100 g
Precio de origen: 0.99 € por envase/pieza o formato publicado
Valor de la celda: 0.99 €/ud.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https://www.aldi.es/producto/chocolate-negro-55percent-cacao-600340200.html</t>
      </text>
    </comment>
    <comment ref="E194" authorId="1" shapeId="0">
      <text>
        <t>Producto consultado: Golosinas Mix Hacendado
Formato: 0.3 kg
Precio de origen: 1.60 € por envase/pieza o formato publicado
Valor de la celda: 1.60 €/ud.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https://cestio.es/mercadona/azucar-caramelos-y-chocolate</t>
      </text>
    </comment>
    <comment ref="E195" authorId="1" shapeId="0">
      <text>
        <t>Producto consultado: Copos de avena Brüggen
Formato: 0.8 kg
Precio de origen: 1.30 € por envase/pieza o formato publicado
Valor de la celda: 1.30 €/ud.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https://cestio.es/mercadona/cereales-y-galletas</t>
      </text>
    </comment>
    <comment ref="G195" authorId="2" shapeId="0">
      <text>
        <t>Producto consultado: GOLDEN BRIDGE Copos de avena integral, 500 g
Formato: 500 g
Precio de origen: 0.75 € por envase/pieza o formato publicado
Valor de la celda: 0.75 €/ud.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https://www.aldi.es/producto/copos-de-avena-integral-273600.html</t>
      </text>
    </comment>
    <comment ref="H195" authorId="1" shapeId="0">
      <text>
        <t>Producto consultado: Copos de avena integral Original Carrefour 500 g.
Formato: 500 g
Precio de origen: 0.83 € por envase/pieza o formato publicado
Valor de la celda: 0.83 €/ud.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https://www.carrefour.es/supermercado/la-despensa/desayuno/cereales/cat26100678/c</t>
      </text>
    </comment>
    <comment ref="I195" authorId="1" shapeId="0">
      <text>
        <t>Producto consultado: ESGIR Copos Avena Integral sin Gluten 450 Gr
Formato: 450 Gr
Precio de origen: 1.99 € por envase/pieza o formato publicado
Valor de la celda: 1.99 €/ud.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https://tienda.consum.es/es/c/despensa/desayuno-dulces-y-cafe/cereales-barritas/1894</t>
      </text>
    </comment>
    <comment ref="E196" authorId="1" shapeId="0">
      <text>
        <t>Producto consultado: Crema de avellanas y cacao Hacendado
Formato: 0.4 kg
Precio de origen: 2.35 € por envase/pieza o formato publicado
Valor de la celda: 2.35 €/ud.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https://cestio.es/mercadona/azucar-caramelos-y-chocolate</t>
      </text>
    </comment>
    <comment ref="G196" authorId="2" shapeId="0">
      <text>
        <t>Producto consultado: DELINUT Crema de cacao y avellanas, 400 g
Formato: 400 g
Precio de origen: 2.11 € por envase/pieza o formato publicado
Valor de la celda: 2.11 €/ud.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https://www.aldi.es/producto/crema-de-cacao-y-avellanas-601770000.html</t>
      </text>
    </comment>
    <comment ref="I196" authorId="1" shapeId="0">
      <text>
        <t>Producto consultado: CONSUM Crema de Cacao 1 Sabor. Bote 500 Gr
Formato: 500 Gr
Precio de origen: 1.95 € por envase/pieza o formato publicado
Valor de la celda: 1.95 €/ud.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https://tienda.consum.es/es/c/despensa/desayuno-dulces-y-cafe/cacao-y-cereales-solubles/5036</t>
      </text>
    </comment>
    <comment ref="E197" authorId="1" shapeId="0">
      <text>
        <t>Producto consultado: Edulcorante líquido sacarina Hacendado
Formato: 0.15 l
Precio de origen: 0.85 € por envase/pieza o formato publicado
Valor de la celda: 0.85 €/ud.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https://cestio.es/mercadona/azucar-caramelos-y-chocolate</t>
      </text>
    </comment>
    <comment ref="G197" authorId="2" shapeId="0">
      <text>
        <t>Producto consultado: LA VILLA Edulcorante en pastillas, 1200 uds
Formato: 1200 uds
Precio de origen: 1.45 € por envase/pieza o formato publicado
Valor de la celda: 1.45 €/ud.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https://www.aldi.es/producto/edulcorante-en-pastillas-380000.html</t>
      </text>
    </comment>
    <comment ref="I197" authorId="1" shapeId="0">
      <text>
        <t>Producto consultado: CONSUM Edulcorante Sacarina en Polvo 75 Gr
Formato: 75 Gr
Precio de origen: 1.59 € por envase/pieza o formato publicado
Valor de la celda: 1.59 €/ud.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https://tienda.consum.es/es/c/despensa/desayuno-dulces-y-cafe/azucar-edulcorantes/4051</t>
      </text>
    </comment>
    <comment ref="E198" authorId="1" shapeId="0">
      <text>
        <t>Producto consultado: Cocktail frutos secos Rumba Hacendado
Formato: 0.3 kg
Precio de origen: 1.60 € por envase/pieza o formato publicado
Valor de la celda: 1.60 €/ud.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https://cestio.es/mercadona/aperitivos</t>
      </text>
    </comment>
    <comment ref="G198" authorId="2" shapeId="0">
      <text>
        <t>Producto consultado: TRADER JOE'S Mix natural de frutos secos, 200 g
Formato: 200 g
Precio de origen: 2.49 € por envase/pieza o formato publicado
Valor de la celda: 2.49 €/ud.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https://www.aldi.es/producto/mix-natural-de-frutos-secos-601204800.html</t>
      </text>
    </comment>
    <comment ref="E199" authorId="1" shapeId="0">
      <text>
        <t>Producto consultado: Galletas avena Hacendado
Formato: 0.425 kg
Precio de origen: 1.00 € por envase/pieza o formato publicado
Valor de la celda: 1.00 €/ud.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https://cestio.es/mercadona/cereales-y-galletas</t>
      </text>
    </comment>
    <comment ref="G199" authorId="2" shapeId="0">
      <text>
        <t>Producto consultado: BISCOTTO Galletas digestive, 2 x 400 g
Formato: 2 x 400 g
Precio de origen: 1.49 € por envase/pieza o formato publicado
Valor de la celda: 1.49 €/ud.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https://www.aldi.es/producto/galletas-digestive-181200.html</t>
      </text>
    </comment>
    <comment ref="H199" authorId="1" shapeId="0">
      <text>
        <t>Producto consultado: Cookies con pepitas de chocolate Carrefour Classic 225 g.
Formato: 225 g
Precio de origen: 1.29 € por envase/pieza o formato publicado
Valor de la celda: 1.29 €/ud.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https://www.carrefour.es/supermercado/la-despensa/desayuno/galletas/cat26102047/c</t>
      </text>
    </comment>
    <comment ref="I199" authorId="1" shapeId="0">
      <text>
        <t>Producto consultado: LU Galleta Mini Príncipe 160 Gr
Formato: 160 Gr
Precio de origen: 1.99 € por envase/pieza o formato publicado
Valor de la celda: 1.99 €/ud.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https://tienda.consum.es/es/c/despensa/desayuno-dulces-y-cafe/galletas/1912</t>
      </text>
    </comment>
    <comment ref="E200" authorId="1" shapeId="0">
      <text>
        <t>Producto consultado: Galletas María Hacendado
Formato: 0.8 kg
Precio de origen: 1.35 € por envase/pieza o formato publicado
Valor de la celda: 1.35 €/ud.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https://cestio.es/mercadona/cereales-y-galletas</t>
      </text>
    </comment>
    <comment ref="G200" authorId="2" shapeId="0">
      <text>
        <t>Producto consultado: BISCOTTO Galletas María Dorada, 800 g
Formato: 800 g
Precio de origen: 1.29 € por envase/pieza o formato publicado
Valor de la celda: 1.29 €/ud.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https://www.aldi.es/producto/galletas-maria-dorada-181100.html</t>
      </text>
    </comment>
    <comment ref="H200" authorId="1" shapeId="0">
      <text>
        <t>Producto consultado: Galletas María dorada Carrefour Classic 800 g.
Formato: 800 g
Precio de origen: 1.35 € por envase/pieza o formato publicado
Valor de la celda: 1.35 €/ud.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https://www.carrefour.es/supermercado/la-despensa/desayuno/galletas/cat26102047/c</t>
      </text>
    </comment>
    <comment ref="E202" authorId="1" shapeId="0">
      <text>
        <t>Producto consultado: Infusión Manzanilla Hacendado
Formato: 0.027 kg
Precio de origen: 0.65 € por envase/pieza o formato publicado
Valor de la celda: 0.65 €/ud.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https://cestio.es/mercadona/cacao-cafe-e-infusiones</t>
      </text>
    </comment>
    <comment ref="G202" authorId="2" shapeId="0">
      <text>
        <t>Producto consultado: WESTMINSTER Infusión manzanilla, 25 bolsitas
Formato: 25 bolsitas
Precio de origen: 0.74 € por envase/pieza o formato publicado
Valor de la celda: 0.74 €/ud.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https://www.aldi.es/producto/infusion-manzanilla-420000.html</t>
      </text>
    </comment>
    <comment ref="I202" authorId="1" shapeId="0">
      <text>
        <t>Producto consultado: POMPADOUR Infusión de Hinojo 20 Bolsitas 20 U
Formato: 20 U
Precio de origen: 2.99 € por envase/pieza o formato publicado
Valor de la celda: 2.99 €/ud.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https://tienda.consum.es/es/c/despensa/desayuno-dulces-y-cafe/infusiones/1928</t>
      </text>
    </comment>
    <comment ref="E203" authorId="1" shapeId="0">
      <text>
        <t>Producto consultado: Mermelada de fresa Hacendado
Formato: 0.4 kg
Precio de origen: 1.45 € por envase/pieza o formato publicado
Valor de la celda: 1.45 €/ud.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https://cestio.es/mercadona/azucar-caramelos-y-chocolate</t>
      </text>
    </comment>
    <comment ref="G203" authorId="2" shapeId="0">
      <text>
        <t>Producto consultado: GRANDESSA Mermelada extra de fresa, 450 g
Formato: 450 g
Precio de origen: 1.31 € por envase/pieza o formato publicado
Valor de la celda: 1.31 €/ud.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https://www.aldi.es/producto/mermelada-extra-de-fresa-601831000.html</t>
      </text>
    </comment>
    <comment ref="I203" authorId="1" shapeId="0">
      <text>
        <t>Producto consultado: CONSUM Mermelada Fresa Frasco 410 Gr
Formato: 410 Gr
Precio de origen: 1.48 € por envase/pieza o formato publicado
Valor de la celda: 1.48 €/ud.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https://tienda.consum.es/es/c/despensa/desayuno-dulces-y-cafe/mermeladas-confituras-y-miel/3999</t>
      </text>
    </comment>
    <comment ref="E204" authorId="1" shapeId="0">
      <text>
        <t>Producto consultado: Miel de flores Hacendado
Formato: 1 kg
Precio de origen: 5.00 € por envase/pieza o formato publicado
Valor de la celda: 5.00 €/ud.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https://cestio.es/mercadona/azucar-caramelos-y-chocolate</t>
      </text>
    </comment>
    <comment ref="G204" authorId="2" shapeId="0">
      <text>
        <t>Producto consultado: BIO Miel líquida ecológica, 500 g
Formato: 500 g
Precio de origen: 4.99 € por envase/pieza o formato publicado
Valor de la celda: 4.99 €/ud.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https://www.aldi.es/producto/miel-liquida-ecologica-360001.html</t>
      </text>
    </comment>
    <comment ref="I204" authorId="1" shapeId="0">
      <text>
        <t>Producto consultado: CONSUM Miel Milflores Frasco 1 Kg
Formato: 1 Kg
Precio de origen: 5.00 € por envase/pieza o formato publicado
Valor de la celda: 5.00 €/ud.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https://tienda.consum.es/es/c/despensa/desayuno-dulces-y-cafe/mermeladas-confituras-y-miel/3999</t>
      </text>
    </comment>
    <comment ref="E205" authorId="1" shapeId="0">
      <text>
        <t>Producto consultado: Palomitas de maíz sabor mantequilla Hacendado para microondas
Formato: 0.27 kg
Precio de origen: 1.20 € por envase/pieza o formato publicado
Valor de la celda: 1.20 €/ud.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https://cestio.es/mercadona/aperitivos</t>
      </text>
    </comment>
    <comment ref="E206" authorId="1" shapeId="0">
      <text>
        <t>Producto consultado: Patatas fritas clásicas Hacendado
Formato: 0.3 kg
Precio de origen: 1.80 € por envase/pieza o formato publicado
Valor de la celda: 1.80 €/ud.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https://cestio.es/mercadona/aperitivos</t>
      </text>
    </comment>
    <comment ref="G206" authorId="2" shapeId="0">
      <text>
        <t>Producto consultado: SUN SNACKS Patatas fritas extracrujientes, 150 g
Formato: 150 g
Precio de origen: 1.09 € por envase/pieza o formato publicado
Valor de la celda: 1.09 €/ud.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https://www.aldi.es/producto/patatas-fritas-extracrujientes-600310900.html</t>
      </text>
    </comment>
    <comment ref="H206" authorId="1" shapeId="0">
      <text>
        <t>Producto consultado: Patatas fritas al punto de sal Lay's sin gluten 248 g.
Formato: 248 g
Precio de origen: 2.85 € por envase/pieza o formato publicado
Valor de la celda: 2.85 €/ud.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https://www.carrefour.es/supermercado/la-despensa/aperitivos/cat390001/c</t>
      </text>
    </comment>
    <comment ref="E207" authorId="1" shapeId="0">
      <text>
        <t>Producto consultado: Tortitas de arroz Hacendado
Formato: 0.124 kg
Precio de origen: 1.10 € por envase/pieza o formato publicado
Valor de la celda: 1.10 €/ud.
ud significa el envase, pack o pieza descrito; no una unidad interna del multipack.
Consultado: 04/10/2026. Fecha de registro de fuente: 2026-09-24.
Fuente indirecta: Cestio, precio registrado para Mercadona; no confirmado directamente en tienda.
URL: https://cestio.es/mercadona/cereales-y-galletas?page=1</t>
      </text>
    </comment>
    <comment ref="G207" authorId="2" shapeId="0">
      <text>
        <t>Producto consultado: BISCOTTO Tortitas de arroz con sal, 130 g
Formato: 130 g
Precio de origen: 0.99 € por envase/pieza o formato publicado
Valor de la celda: 0.99 €/ud.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https://www.aldi.es/producto/tortitas-de-arroz-con-sal-261100.html</t>
      </text>
    </comment>
    <comment ref="E208" authorId="1" shapeId="0">
      <text>
        <t>Producto consultado: Té verde Hacendado
Formato: 0.03 kg
Precio de origen: 0.75 € por envase/pieza o formato publicado
Valor de la celda: 0.75 €/ud.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https://cestio.es/mercadona/cacao-cafe-e-infusiones</t>
      </text>
    </comment>
    <comment ref="G208" authorId="2" shapeId="0">
      <text>
        <t>Producto consultado: WESTMINSTER Té verde, 25 bolsitas
Formato: 25 bolsitas
Precio de origen: 0.89 € por envase/pieza o formato publicado
Valor de la celda: 0.89 €/ud.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https://www.aldi.es/producto/te-verde-421901.html</t>
      </text>
    </comment>
    <comment ref="I208" authorId="1" shapeId="0">
      <text>
        <t>Producto consultado: POMPADOUR Té Verde 20 Bolsitas 20 U
Formato: 20 U
Precio de origen: 2.99 € por envase/pieza o formato publicado
Valor de la celda: 2.99 €/ud.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https://tienda.consum.es/es/c/despensa/desayuno-dulces-y-cafe/infusiones/1928</t>
      </text>
    </comment>
    <comment ref="E209" authorId="1" shapeId="0">
      <text>
        <t>Producto consultado: Croquetas de jamón Hacendado ultracongeladas
Formato: 0.5 kg
Precio de origen: 1.40 € por envase/pieza o formato publicado
Valor de la celda: 1.40 €/ud.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https://cestio.es/mercadona/congelados</t>
      </text>
    </comment>
    <comment ref="G209" authorId="2" shapeId="0">
      <text>
        <t>Producto consultado: FLETE Croquetas de jamón ibérico, 400 g
Formato: 400 g
Precio de origen: 1.99 € por envase/pieza o formato publicado
Valor de la celda: 1.99 €/ud.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https://www.aldi.es/producto/croquetas-de-jamon-iberico-820902.html</t>
      </text>
    </comment>
    <comment ref="I209" authorId="1" shapeId="0">
      <text>
        <t>Producto consultado: LA COCINERA Croquetas de Cocido Casero con Jamón 500 Gr
Formato: 500 Gr
Precio de origen: 3.49 € por envase/pieza o formato publicado
Valor de la celda: 3.49 €/ud.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https://tienda.consum.es/es/c/congelados-y-helados/1783</t>
      </text>
    </comment>
    <comment ref="E210" authorId="1" shapeId="0">
      <text>
        <t>Producto consultado: Empanadillas de atún Hacendado ultracongeladas
Formato: 0.5 kg
Precio de origen: 1.90 € por envase/pieza o formato publicado
Valor de la celda: 1.90 €/ud.
ud significa el envase, pack o pieza descrito; no una unidad interna del multipack.
Consultado: 04/10/2026. Fecha de registro de fuente: 2026-09-29.
Fuente indirecta: Cestio, precio registrado para Mercadona; no confirmado directamente en tienda.
URL: https://cestio.es/mercadona/marisco-y-pescado</t>
      </text>
    </comment>
    <comment ref="G210" authorId="2" shapeId="0">
      <text>
        <t>Producto consultado: FLETE Empanadillas de atún y bonito, 250 g
Formato: 250 g
Precio de origen: 0.89 € por envase/pieza o formato publicado
Valor de la celda: 0.89 €/ud.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https://www.aldi.es/producto/empanadillas-de-atun-y-bonito-821900.html</t>
      </text>
    </comment>
    <comment ref="E212" authorId="1" shapeId="0">
      <text>
        <t>Producto consultado: Guisante fino Hacendado ultracongelado
Formato: 1 kg
Precio de origen: 1.50 € por envase/pieza o formato publicado
Valor de la celda: 1.50 €/ud.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https://cestio.es/mercadona/congelados</t>
      </text>
    </comment>
    <comment ref="G212" authorId="2" shapeId="0">
      <text>
        <t>Producto consultado: FLETE Guisantes, 1 kg
Formato: 1 kg
Precio de origen: 1.49 € por envase/pieza o formato publicado
Valor de la celda: 1.49 €/ud.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https://www.aldi.es/producto/guisantes-823300.html</t>
      </text>
    </comment>
    <comment ref="E213" authorId="1" shapeId="0">
      <text>
        <t>Producto consultado: Helado de vainilla Hacendado
Formato: 1 l
Precio de origen: 2.40 € por envase/pieza o formato publicado
Valor de la celda: 2.40 €/ud.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https://cestio.es/mercadona/congelados</t>
      </text>
    </comment>
    <comment ref="H213" authorId="1" shapeId="0">
      <text>
        <t>Producto consultado: Helado Flash`s Siglitos sin gluten y sin lactosa 12 ud.
Formato: 12 ud
Precio de origen: 1.44 € por envase/pieza o formato publicado
Valor de la celda: 1.44 €/ud.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https://www.carrefour.es/supermercado/congelados/cat21449123/c</t>
      </text>
    </comment>
    <comment ref="E214" authorId="1" shapeId="0">
      <text>
        <t>Producto consultado: Cubos de hielo Hacendado
Formato: 2 kg
Precio de origen: 1.15 € por envase/pieza o formato publicado
Valor de la celda: 1.15 €/ud.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https://cestio.es/mercadona/congelados</t>
      </text>
    </comment>
    <comment ref="H214" authorId="1" shapeId="0">
      <text>
        <t>Producto consultado: Hielo en cubitos Carrefour 2 kg.
Formato: 2 kg
Precio de origen: 1.14 € por envase/pieza o formato publicado
Valor de la celda: 1.14 €/ud.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https://www.carrefour.es/supermercado/congelados/cat21449123/c</t>
      </text>
    </comment>
    <comment ref="E215" authorId="1" shapeId="0">
      <text>
        <t>Producto consultado: Masa fresca hojaldre Hacendado
Formato: 0.52 kg
Precio de origen: 2.40 € por envase/pieza o formato publicado
Valor de la celda: 2.40 €/ud.
ud significa el envase, pack o pieza descrito; no una unidad interna del multipack.
Consultado: 04/10/2026. Fecha de registro de fuente: 2026-09-27.
Fuente indirecta: Cestio, precio registrado para Mercadona; no confirmado directamente en tienda.
URL: https://cestio.es/mercadona/panaderia-y-pasteleria?page=1</t>
      </text>
    </comment>
    <comment ref="G215" authorId="2" shapeId="0">
      <text>
        <t>Producto consultado: DAYLICIOUS Masa de hojaldre, 230 g
Formato: 230 g
Precio de origen: 0.82 € por envase/pieza o formato publicado
Valor de la celda: 0.82 €/ud.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https://www.aldi.es/producto/masa-de-hojaldre-750100.html</t>
      </text>
    </comment>
    <comment ref="I215" authorId="1" shapeId="0">
      <text>
        <t>Producto consultado: BUITONI Masa de Hojaldre Rectangular 230 Gr
Formato: 230 Gr
Precio de origen: 2.00 € por envase/pieza o formato publicado
Valor de la celda: 2.00 €/ud.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https://tienda.consum.es/es/c/despensa/arroz-pastas-legumbres/1639</t>
      </text>
    </comment>
    <comment ref="G216" authorId="2" shapeId="0">
      <text>
        <t>Producto consultado: CUCINA Masa de pizza, 230 g
Formato: 230 g
Precio de origen: 1.35 € por envase/pieza o formato publicado
Valor de la celda: 1.35 €/ud.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https://www.aldi.es/producto/masa-de-pizza-525500.html</t>
      </text>
    </comment>
    <comment ref="I216" authorId="1" shapeId="0">
      <text>
        <t>Producto consultado: BUITONI Masa de Pizza Finíssima Maxi 350 Gr
Formato: 350 Gr
Precio de origen: 2.45 € por envase/pieza o formato publicado
Valor de la celda: 2.45 €/ud.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https://tienda.consum.es/es/c/despensa/arroz-pastas-legumbres/1639</t>
      </text>
    </comment>
    <comment ref="G218" authorId="2" shapeId="0">
      <text>
        <t>Producto consultado: FLETE Patatas corte fino, 1 kg
Formato: 1 kg
Precio de origen: 1.79 € por envase/pieza o formato publicado
Valor de la celda: 1.79 €/ud.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https://www.aldi.es/producto/patatas-corte-fino-601569600.html</t>
      </text>
    </comment>
    <comment ref="I218" authorId="1" shapeId="0">
      <text>
        <t>Producto consultado: CONSUM Patatas Prefritas Corte Fino 1 Kg
Formato: 1 Kg
Precio de origen: 1.95 € por envase/pieza o formato publicado
Valor de la celda: 1.95 €/ud.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https://tienda.consum.es/es/c/congelados/frutas-verduras/2514</t>
      </text>
    </comment>
    <comment ref="G219" authorId="2" shapeId="0">
      <text>
        <t>Producto consultado: FLETE Pizza masa fina de jamón y queso, 330 g
Formato: 330 g
Precio de origen: 2.49 € por envase/pieza o formato publicado
Valor de la celda: 2.49 €/ud.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https://www.aldi.es/producto/pizza-masa-fina-de-jamon-y-queso-51201.html</t>
      </text>
    </comment>
    <comment ref="E220" authorId="1" shapeId="0">
      <text>
        <t>Producto consultado: San Jacobos de cerdo sin gluten
Formato: 0.4 kg
Precio de origen: 2.64 € por envase/pieza o formato publicado
Valor de la celda: 2.64 €/ud.
ud significa el envase, pack o pieza descrito; no una unidad interna del multipack.
Consultado: 04/10/2026. Fecha de registro de fuente: 2026-10-04.
Fuente indirecta: Cestio, precio registrado para Mercadona; no confirmado directamente en tienda.
URL: https://cestio.es/mercadona/carne</t>
      </text>
    </comment>
    <comment ref="G220" authorId="2" shapeId="0">
      <text>
        <t>Producto consultado: FLETE San Jacobo, 4 x 80 g
Formato: 4 x 80 g
Precio de origen: 1.09 € por envase/pieza o formato publicado
Valor de la celda: 1.09 €/ud.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https://www.aldi.es/producto/san-jacobo-269300.html</t>
      </text>
    </comment>
    <comment ref="I220" authorId="1" shapeId="0">
      <text>
        <t>Producto consultado: CONSUM San Jacobo 300 Gr
Formato: 300 Gr
Precio de origen: 3.00 € por envase/pieza o formato publicado
Valor de la celda: 3.00 €/ud.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https://tienda.consum.es/es/c/frescos/carniceria/cerdo/2159</t>
      </text>
    </comment>
    <comment ref="E221" authorId="1" shapeId="0">
      <text>
        <t>Producto consultado: Varitas de merluza empanadas Hacendado ultracongeladas
Formato: 0.4 kg
Precio de origen: 4.25 € por envase/pieza o formato publicado
Valor de la celda: 4.25 €/ud.
ud significa el envase, pack o pieza descrito; no una unidad interna del multipack.
Consultado: 04/10/2026. Fecha de registro de fuente: 2026-09-29.
Fuente indirecta: Cestio, precio registrado para Mercadona; no confirmado directamente en tienda.
URL: https://cestio.es/mercadona/marisco-y-pescado</t>
      </text>
    </comment>
    <comment ref="E222" authorId="1" shapeId="0">
      <text>
        <t>Producto consultado: Menestra de verduras Hacendado ultracongelada
Formato: 1 kg
Precio de origen: 1.75 € por envase/pieza o formato publicado
Valor de la celda: 1.75 €/ud.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https://cestio.es/mercadona/congelados</t>
      </text>
    </comment>
    <comment ref="G222" authorId="2" shapeId="0">
      <text>
        <t>Producto consultado: ALL SEASONS Mix de brócoli, coliflor y zanahoria, 1 kg
Formato: 1 kg
Precio de origen: 1.69 € por envase/pieza o formato publicado
Valor de la celda: 1.69 €/ud.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https://www.aldi.es/producto/mix-de-brocoli-coliflor-y-zanahoria-601115500.html</t>
      </text>
    </comment>
    <comment ref="G223" authorId="2" shapeId="0">
      <text>
        <t>Producto consultado: AQUA Agua mineral natural, 330 ml
Formato: 330 ml
Precio de origen: 0.28 € por envase/pieza o formato publicado
Valor de la celda: 0.28 €/ud.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https://www.aldi.es/producto/agua-mineral-natural-16900.html</t>
      </text>
    </comment>
    <comment ref="H223" authorId="1" shapeId="0">
      <text>
        <t>Producto consultado: Agua mineral Bezoya grifo 8 l.
Formato: 8 l
Precio de origen: 3.65 € por envase/pieza o formato publicado
Valor de la celda: 0.46 €/l.
Consultado: 04/10/2026. Fecha de registro de fuente: 2026-10-04.
Fuente: web pública de Carrefour. La tienda, zona y disponibilidad pueden cambiar el precio.
URL: https://www.carrefour.es/supermercado/bebidas/cat20003/c</t>
      </text>
    </comment>
    <comment ref="I223" authorId="1" shapeId="0">
      <text>
        <t>Producto consultado: CONSUM Agua Mineral Natural Garrafa 5 L
Formato: 5 L
Precio de origen: 0.69 € por envase/pieza o formato publicado
Valor de la celda: 0.14 €/l.
Consultado: 04/10/2026. Fecha de registro de fuente: 2026-10-04.
Fuente: web pública de Consum. La tienda, zona y disponibilidad pueden cambiar el precio.
URL: https://tienda.consum.es/es/c/bebidas/aguas/2482</t>
      </text>
    </comment>
    <comment ref="E224" authorId="1" shapeId="0">
      <text>
        <t>Producto consultado: Agua mineral con gas grande Aguadoy
Formato: 1.5 l
Precio de origen: 0.42 € por envase/pieza o formato publicado
Valor de la celda: 0.42 €/ud.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https://cestio.es/mercadona/agua-y-refrescos</t>
      </text>
    </comment>
    <comment ref="G224" authorId="2" shapeId="0">
      <text>
        <t>Producto consultado: AQUA Agua mineral con gas, 1,25 l
Formato: 1,25 l
Precio de origen: 0.41 € por envase/pieza o formato publicado
Valor de la celda: 0.41 €/ud.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https://www.aldi.es/producto/agua-mineral-con-gas-17400.html</t>
      </text>
    </comment>
    <comment ref="I224" authorId="1" shapeId="0">
      <text>
        <t>Producto consultado: VICHY Agua Mineral con Gas Botella Vidrio 1 L
Formato: 1 L
Precio de origen: 1.65 € por envase/pieza o formato publicado
Valor de la celda: 1.65 €/ud.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https://tienda.consum.es/es/c/bebidas/aguas/2482</t>
      </text>
    </comment>
    <comment ref="E225" authorId="1" shapeId="0">
      <text>
        <t>Producto consultado: Bebida isotónica de naranja Iso drink
Formato: 1.5 l
Precio de origen: 1.00 € por envase/pieza o formato publicado
Valor de la celda: 1.00 €/ud.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https://cestio.es/mercadona/agua-y-refrescos</t>
      </text>
    </comment>
    <comment ref="G225" authorId="2" shapeId="0">
      <text>
        <t>Producto consultado: RIVER Bebida isotónica, 500 ml
Formato: 500 ml
Precio de origen: 0.69 € por envase/pieza o formato publicado
Valor de la celda: 0.69 €/ud.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https://www.aldi.es/producto/bebida-isotonica-601711800.html</t>
      </text>
    </comment>
    <comment ref="I225" authorId="1" shapeId="0">
      <text>
        <t>Producto consultado: AQUARIUS Bebida Isotónica Naranja Lata 0,33 L
Formato: 0,33 L
Precio de origen: 0.99 € por envase/pieza o formato publicado
Valor de la celda: 0.99 €/ud.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https://tienda.consum.es/es/c/bebidas/isotonicas-energeticas/1720</t>
      </text>
    </comment>
    <comment ref="I226" authorId="1" shapeId="0">
      <text>
        <t>Producto consultado: JAUME SERRA Cava Brut Nature D.O. Cava 0,75 L
Formato: 0,75 L
Precio de origen: 3.95 € por envase/pieza o formato publicado
Valor de la celda: 3.95 €/ud.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https://tienda.consum.es/es/c/bebidas/cavas-sidras/1701</t>
      </text>
    </comment>
    <comment ref="G227" authorId="2" shapeId="0">
      <text>
        <t>Producto consultado: KARLSQUELL Cerveza clásica, 0,33 l
Formato: 0,33 l
Precio de origen: 0.29 € por envase/pieza o formato publicado
Valor de la celda: 0.29 €/ud.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https://www.aldi.es/producto/cerveza-clasica-50600.html</t>
      </text>
    </comment>
    <comment ref="H227" authorId="1" shapeId="0">
      <text>
        <t>Producto consultado: Cerveza Mahou clásica lata 50 cl.
Formato: 50 cl
Precio de origen: 1.10 € por envase/pieza o formato publicado
Valor de la celda: 1.10 €/ud.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https://www.carrefour.es/supermercado/bebidas/cat20003/c</t>
      </text>
    </comment>
    <comment ref="I227" authorId="1" shapeId="0">
      <text>
        <t>Producto consultado: AMSTEL Cerveza Lata 0,33 L
Formato: 0,33 L
Precio de origen: 0.75 € por envase/pieza o formato publicado
Valor de la celda: 0.75 €/ud.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https://tienda.consum.es/es/c/bebidas/cervezas/1707</t>
      </text>
    </comment>
    <comment ref="G228" authorId="2" shapeId="0">
      <text>
        <t>Producto consultado: KARLSQUELL Cerveza sin alcohol, 0,33 l
Formato: 0,33 l
Precio de origen: 0.28 € por envase/pieza o formato publicado
Valor de la celda: 0.28 €/ud.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https://www.aldi.es/producto/cerveza-sin-alcohol-51500.html</t>
      </text>
    </comment>
    <comment ref="I228" authorId="1" shapeId="0">
      <text>
        <t>Producto consultado: SAN MIGUEL Cerveza sin Alcohol 0,0 Lata 0,33 L
Formato: 0,33 L
Precio de origen: 0.75 € por envase/pieza o formato publicado
Valor de la celda: 0.75 €/ud.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https://tienda.consum.es/es/c/bebidas/cervezas/1707</t>
      </text>
    </comment>
    <comment ref="E229" authorId="1" shapeId="0">
      <text>
        <t>Producto consultado: Horchata de chufa Hacendado
Formato: 1 l
Precio de origen: 1.35 € por envase/pieza o formato publicado
Valor de la celda: 1.35 €/ud.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https://cestio.es/mercadona/huevos-leche-y-mantequilla?page=1</t>
      </text>
    </comment>
    <comment ref="E230" authorId="1" shapeId="0">
      <text>
        <t>Producto consultado: Refresco Coca-Cola
Formato: 2 l
Precio de origen: 2.15 € por envase/pieza o formato publicado
Valor de la celda: 2.15 €/ud.
ud significa el envase, pack o pieza descrito; no una unidad interna del multipack.
Consultado: 04/10/2026. Fecha de registro de fuente: 2026-09-26.
Fuente indirecta: Cestio, precio registrado para Mercadona; no confirmado directamente en tienda.
URL: https://cestio.es/mercadona/agua-y-refrescos?page=1</t>
      </text>
    </comment>
    <comment ref="G230" authorId="2" shapeId="0">
      <text>
        <t>Producto consultado: RIVER Refresco de cola, 330 ml
Formato: 330 ml
Precio de origen: 0.34 € por envase/pieza o formato publicado
Valor de la celda: 0.34 €/ud.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https://www.aldi.es/producto/refresco-de-cola-31000.html</t>
      </text>
    </comment>
    <comment ref="I230" authorId="1" shapeId="0">
      <text>
        <t>Producto consultado: PEPSI-COLA Refresco Cola Lata 0,33 L
Formato: 0,33 L
Precio de origen: 0.79 € por envase/pieza o formato publicado
Valor de la celda: 0.79 €/ud.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https://tienda.consum.es/es/c/bebidas/refrescos/1728</t>
      </text>
    </comment>
    <comment ref="E231" authorId="1" shapeId="0">
      <text>
        <t>Producto consultado: Refresco Fanta limón
Formato: 2 l
Precio de origen: 1.85 € por envase/pieza o formato publicado
Valor de la celda: 1.85 €/ud.
ud significa el envase, pack o pieza descrito; no una unidad interna del multipack.
Consultado: 04/10/2026. Fecha de registro de fuente: 2026-09-26.
Fuente indirecta: Cestio, precio registrado para Mercadona; no confirmado directamente en tienda.
URL: https://cestio.es/mercadona/agua-y-refrescos?page=1</t>
      </text>
    </comment>
    <comment ref="G231" authorId="2" shapeId="0">
      <text>
        <t>Producto consultado: RIVER Refresco de limón, 330 ml
Formato: 330 ml
Precio de origen: 0.36 € por envase/pieza o formato publicado
Valor de la celda: 0.36 €/ud.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https://www.aldi.es/producto/refresco-de-limon-33000.html</t>
      </text>
    </comment>
    <comment ref="I231" authorId="1" shapeId="0">
      <text>
        <t>Producto consultado: FANTA Refresco Limón Lata 0,33 L
Formato: 0,33 L
Precio de origen: 0.75 € por envase/pieza o formato publicado
Valor de la celda: 0.75 €/ud.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https://tienda.consum.es/es/c/bebidas/refrescos/1728</t>
      </text>
    </comment>
    <comment ref="E232" authorId="1" shapeId="0">
      <text>
        <t>Producto consultado: Refresco Fanta naranja
Formato: 2 l
Precio de origen: 1.85 € por envase/pieza o formato publicado
Valor de la celda: 1.85 €/ud.
ud significa el envase, pack o pieza descrito; no una unidad interna del multipack.
Consultado: 04/10/2026. Fecha de registro de fuente: 2026-09-26.
Fuente indirecta: Cestio, precio registrado para Mercadona; no confirmado directamente en tienda.
URL: https://cestio.es/mercadona/agua-y-refrescos?page=1</t>
      </text>
    </comment>
    <comment ref="G232" authorId="2" shapeId="0">
      <text>
        <t>Producto consultado: RIVER Refresco de naranja, 330 ml
Formato: 330 ml
Precio de origen: 0.35 € por envase/pieza o formato publicado
Valor de la celda: 0.35 €/ud.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https://www.aldi.es/producto/refresco-de-naranja-32000.html</t>
      </text>
    </comment>
    <comment ref="I232" authorId="1" shapeId="0">
      <text>
        <t>Producto consultado: FANTA Refresco Naranja Lata 0,33 L
Formato: 0,33 L
Precio de origen: 0.75 € por envase/pieza o formato publicado
Valor de la celda: 0.75 €/ud.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https://tienda.consum.es/es/c/bebidas/refrescos/1728</t>
      </text>
    </comment>
    <comment ref="E233" authorId="1" shapeId="0">
      <text>
        <t>Producto consultado: Tónica Hacendado
Formato: 0.33 l
Precio de origen: 0.37 € por envase/pieza o formato publicado
Valor de la celda: 0.37 €/ud.
ud significa el envase, pack o pieza descrito; no una unidad interna del multipack.
Consultado: 04/10/2026. Fecha de registro de fuente: 2026-09-26.
Fuente indirecta: Cestio, precio registrado para Mercadona; no confirmado directamente en tienda.
URL: https://cestio.es/mercadona/agua-y-refrescos?page=1</t>
      </text>
    </comment>
    <comment ref="G233" authorId="2" shapeId="0">
      <text>
        <t>Producto consultado: RIVER Tónica, 330 ml
Formato: 330 ml
Precio de origen: 0.36 € por envase/pieza o formato publicado
Valor de la celda: 0.36 €/ud.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https://www.aldi.es/producto/tonica-34600.html</t>
      </text>
    </comment>
    <comment ref="I233" authorId="1" shapeId="0">
      <text>
        <t>Producto consultado: SCHWEPPES Tónica Lata 0,33 L
Formato: 0,33 L
Precio de origen: 0.99 € por envase/pieza o formato publicado
Valor de la celda: 0.99 €/ud.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https://tienda.consum.es/es/c/bebidas/refrescos/1728</t>
      </text>
    </comment>
    <comment ref="G234" authorId="2" shapeId="0">
      <text>
        <t>Producto consultado: MARQUÉS DE CÁNOVA Vino blanco DOP Valdepeñas, 0,75 l
Formato: 0,75 l
Precio de origen: 1.39 € por envase/pieza o formato publicado
Valor de la celda: 1.39 €/ud.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https://www.aldi.es/producto/vino-blanco-dop-valdepenas-285900.html</t>
      </text>
    </comment>
    <comment ref="G235" authorId="2" shapeId="0">
      <text>
        <t>Producto consultado: MARQUÉS DE CÁNOVA Vino tinto cosecha DOP Valdepeñas, 0,75 l
Formato: 0,75 l
Precio de origen: 1.39 € por envase/pieza o formato publicado
Valor de la celda: 1.39 €/ud.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https://www.aldi.es/producto/vino-tinto-cosecha-dop-valdepenas-171800.html</t>
      </text>
    </comment>
    <comment ref="E236" authorId="1" shapeId="0">
      <text>
        <t>Producto consultado: Zumo de melocotón y uva Hacendado
Formato: 1.2 l
Precio de origen: 1.50 € por envase/pieza o formato publicado
Valor de la celda: 1.50 €/ud.
ud significa el envase, pack o pieza descrito; no una unidad interna del multipack.
Consultado: 04/10/2026. Fecha de registro de fuente: 2026-09-26.
Fuente indirecta: Cestio, precio registrado para Mercadona; no confirmado directamente en tienda.
URL: https://cestio.es/mercadona/zumos</t>
      </text>
    </comment>
    <comment ref="G236" authorId="2" shapeId="0">
      <text>
        <t>Producto consultado: RIO D'ORO Zumo de melocotón y uva, 1,5 l
Formato: 1,5 l
Precio de origen: 1.45 € por envase/pieza o formato publicado
Valor de la celda: 1.45 €/ud.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https://www.aldi.es/producto/zumo-de-melocoton-y-uva-673600.html</t>
      </text>
    </comment>
    <comment ref="E237" authorId="1" shapeId="0">
      <text>
        <t>Producto consultado: Zumo de naranja Hacendado
Formato: 1 l
Precio de origen: 2.10 € por envase/pieza o formato publicado
Valor de la celda: 2.10 €/l.
 Importe por l calculado a partir del precio y cantidad registrados por Cestio; en piezas a peso es aproximado.
Consultado: 04/10/2026. Fecha de registro de fuente: 2026-09-26.
Fuente indirecta: Cestio, precio registrado para Mercadona; no confirmado directamente en tienda.
URL: https://cestio.es/mercadona/zumos</t>
      </text>
    </comment>
    <comment ref="G237" authorId="2" shapeId="0">
      <text>
        <t>Producto consultado: RIO D'ORO Zumo exprimido de naranja con pulpa, 1 l
Formato: 1 l
Precio de origen: 1.79 € por envase/pieza o formato publicado
Valor de la celda: 1.79 €/ud.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https://www.aldi.es/producto/zumo-exprimido-de-naranja-con-pulpa-18100.html</t>
      </text>
    </comment>
    <comment ref="I237" authorId="1" shapeId="0">
      <text>
        <t>Producto consultado: DON SIMON Zumo Naranja Concentrado Brik 1 L
Formato: 1 L
Precio de origen: 1.49 € por envase/pieza o formato publicado
Valor de la celda: 1.49 €/l.
Oferta desde 09/23/2026 hasta 10/21/2026
Consultado: 04/10/2026. Fecha de registro de fuente: 2026-10-04.
Fuente: web pública de Consum. La tienda, zona y disponibilidad pueden cambiar el precio.
URL: https://tienda.consum.es/es/c/bebidas/zumos-nectares/1779</t>
      </text>
    </comment>
    <comment ref="G238" authorId="2" shapeId="0">
      <text>
        <t>Producto consultado: ESSELT Abrillantador para lavavajillas, 750 ml
Formato: 750 ml
Precio de origen: 1.12 € por envase/pieza o formato publicado
Valor de la celda: 1.12 €/ud.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https://www.aldi.es/producto/abrillantador-para-lavavajillas-293100.html</t>
      </text>
    </comment>
    <comment ref="I238" authorId="1" shapeId="0">
      <text>
        <t>Producto consultado: FINISH Abrillantador Lavavajillas 0,5 L
Formato: 0,5 L
Precio de origen: 4.90 € por envase/pieza o formato publicado
Valor de la celda: 4.90 €/ud.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https://tienda.consum.es/es/c/drogueria/limpieza-cocina/5053</t>
      </text>
    </comment>
    <comment ref="G239" authorId="2" shapeId="0">
      <text>
        <t>Producto consultado: ESSELT Ambientador Midnight Blue, 300 ml
Formato: 300 ml
Precio de origen: 2.49 € por envase/pieza o formato publicado
Valor de la celda: 2.49 €/ud.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https://www.aldi.es/producto/ambientador-midnight-blue-600232801.html</t>
      </text>
    </comment>
    <comment ref="I239" authorId="1" shapeId="0">
      <text>
        <t>Producto consultado: OUST Ambientador Aire Fresco Spray 300 ml
Formato: 300 ml
Precio de origen: 4.19 € por envase/pieza o formato publicado
Valor de la celda: 4.19 €/ud.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https://tienda.consum.es/es/c/drogueria/ambientadores/1259</t>
      </text>
    </comment>
    <comment ref="G240" authorId="2" shapeId="0">
      <text>
        <t>Producto consultado: POWER FORCE Bayetas multiusos, 6 unidades
Formato: 6 unidades
Precio de origen: 0.77 € por envase/pieza o formato publicado
Valor de la celda: 0.77 €/ud.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https://www.aldi.es/producto/bayetas-multiusos-601307300.html</t>
      </text>
    </comment>
    <comment ref="H240" authorId="1" shapeId="0">
      <text>
        <t>Producto consultado: 3 Bayetas Multiusos de Microfibra Carrefour - Colores surtidos
Formato: Envase/pieza publicado; ver nota
Precio de origen: 1.67 € por envase/pieza o formato publicado
Valor de la celda: 1.67 €/ud.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https://www.carrefour.es/supermercado/drogueria-y-limpieza/utensilios-de-limpieza/cat20047/c</t>
      </text>
    </comment>
    <comment ref="I240" authorId="1" shapeId="0">
      <text>
        <t>Producto consultado: VILEDA Bayeta Suave Multiusos 2 más 1 de Regalo 3 U
Formato: 3 U
Precio de origen: 1.49 € por envase/pieza o formato publicado
Valor de la celda: 1.49 €/ud.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https://tienda.consum.es/es/c/drogueria-y-limpieza/1239</t>
      </text>
    </comment>
    <comment ref="E241" authorId="1" shapeId="0">
      <text>
        <t>Producto consultado: Bolsas de basura envases 30L Bosque Verde
Formato: 1 ud
Precio de origen: 2.30 € por envase/pieza o formato publicado
Valor de la celda: 2.30 €/ud.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https://cestio.es/mercadona/limpieza-y-hogar</t>
      </text>
    </comment>
    <comment ref="G241" authorId="2" shapeId="0">
      <text>
        <t>Producto consultado: POWER FORCE Bolsa de basura grande 50 l, 20 unidades
Formato: 20 unidades
Precio de origen: 2.15 € por envase/pieza o formato publicado
Valor de la celda: 2.15 €/ud.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https://www.aldi.es/producto/bolsa-de-basura-grande-50-l-601731100.html</t>
      </text>
    </comment>
    <comment ref="H241" authorId="1" shapeId="0">
      <text>
        <t>Producto consultado: 40 Bolsas de Basura Plástico Reciclado CARREFOUR 30 l.
Formato: 30 l
Precio de origen: 1.80 € por envase/pieza o formato publicado
Valor de la celda: 1.80 €/ud.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https://www.carrefour.es/supermercado/drogueria-y-limpieza/utensilios-de-limpieza/bolsa-y-cubos-de-basura/cat32592979/c</t>
      </text>
    </comment>
    <comment ref="I241" authorId="1" shapeId="0">
      <text>
        <t>Producto consultado: CONSUM Bolsas Basura Autocierre Perfumada Blanca 10L 40 U
Formato: 40 U
Precio de origen: 1.40 € por envase/pieza o formato publicado
Valor de la celda: 1.40 €/ud.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https://tienda.consum.es/es/c/drogueria/accesorios-utensilios-limpieza/1240</t>
      </text>
    </comment>
    <comment ref="E242" authorId="1" shapeId="0">
      <text>
        <t>Producto consultado: Bolsas congelación medianas Bosque Verde reutilizables
Formato: 1 ud
Precio de origen: 0.85 € por envase/pieza o formato publicado
Valor de la celda: 0.85 €/ud.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https://cestio.es/mercadona/limpieza-y-hogar</t>
      </text>
    </comment>
    <comment ref="G242" authorId="2" shapeId="0">
      <text>
        <t>Producto consultado: POWER FORCE Bolsas de congelación medianas, 20 bolsitas
Formato: 20 bolsitas
Precio de origen: 1.37 € por envase/pieza o formato publicado
Valor de la celda: 1.37 €/ud.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https://www.aldi.es/producto/bolsas-de-congelacion-medianas-113303.html</t>
      </text>
    </comment>
    <comment ref="I242" authorId="1" shapeId="0">
      <text>
        <t>Producto consultado: CONSUM Bolsas Congelación Mediana 40 U
Formato: 40 U
Precio de origen: 0.95 € por envase/pieza o formato publicado
Valor de la celda: 0.95 €/ud.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https://tienda.consum.es/es/c/drogueria-limpieza/conservacion-alimentos-moldes/4542</t>
      </text>
    </comment>
    <comment ref="E244" authorId="1" shapeId="0">
      <text>
        <t>Producto consultado: Detergente ropa Frescura Bosque Verde líquido
Formato: 3 l
Precio de origen: 3.50 € por envase/pieza o formato publicado
Valor de la celda: 3.50 €/ud.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https://cestio.es/mercadona/limpieza-y-hogar</t>
      </text>
    </comment>
    <comment ref="G244" authorId="2" shapeId="0">
      <text>
        <t>Producto consultado: TANDIL Detergente líquido colonia, 46 lavados
Formato: 46 lavados
Precio de origen: 3.39 € por envase/pieza o formato publicado
Valor de la celda: 3.39 €/ud.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https://www.aldi.es/producto/detergente-liquido-colonia-601365900.html</t>
      </text>
    </comment>
    <comment ref="H244" authorId="1" shapeId="0">
      <text>
        <t>Producto consultado: Detergente líquido marsella y flores de naranjo Essential Carrefour 44 lavados.
Formato: Envase/pieza publicado; ver nota
Precio de origen: 3.09 € por envase/pieza o formato publicado
Valor de la celda: 3.09 €/ud.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https://www.carrefour.es/supermercado/drogueria-y-limpieza/cuidado-de-la-ropa/cat20044/c</t>
      </text>
    </comment>
    <comment ref="I244" authorId="1" shapeId="0">
      <text>
        <t>Producto consultado: CONSUM Detergente Concentrado Ropa Blanca y Color 25 Lv
Formato: 25 Lv
Precio de origen: 3.35 € por envase/pieza o formato publicado
Valor de la celda: 3.35 €/ud.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https://tienda.consum.es/es/c/drogueria/detergente/1292</t>
      </text>
    </comment>
    <comment ref="G245" authorId="2" shapeId="0">
      <text>
        <t>Producto consultado: POWER FORCE Estropajo salvauñas amarillo, 6 unidades
Formato: 6 unidades
Precio de origen: 1.45 € por envase/pieza o formato publicado
Valor de la celda: 1.45 €/ud.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https://www.aldi.es/producto/estropajo-salvaunas-amarillo-601307001.html</t>
      </text>
    </comment>
    <comment ref="H245" authorId="1" shapeId="0">
      <text>
        <t>Producto consultado: 3 Estropajos salvauñas Carrefour - Verde
Formato: Envase/pieza publicado; ver nota
Precio de origen: 0.75 € por envase/pieza o formato publicado
Valor de la celda: 0.75 €/ud.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https://www.carrefour.es/supermercado/drogueria-y-limpieza/utensilios-de-limpieza/estropajos/cat20328/c</t>
      </text>
    </comment>
    <comment ref="I245" authorId="1" shapeId="0">
      <text>
        <t>Producto consultado: CONSUM Estropajos Salvauñas 3 U
Formato: 3 U
Precio de origen: 0.75 € por envase/pieza o formato publicado
Valor de la celda: 0.75 €/ud.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https://tienda.consum.es/es/c/drogueria/accesorios-utensilios-limpieza/1240</t>
      </text>
    </comment>
    <comment ref="G246" authorId="2" shapeId="0">
      <text>
        <t>Producto consultado: ESSELT Fregona microfibra, 1 ud
Formato: 1 ud
Precio de origen: 2.99 € por envase/pieza o formato publicado
Valor de la celda: 2.99 €/ud.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https://www.aldi.es/producto/fregona-microfibra-559000.html</t>
      </text>
    </comment>
    <comment ref="I246" authorId="1" shapeId="0">
      <text>
        <t>Producto consultado: CONSUM Fregona Sintética Tira Amarilla 1 U
Formato: 1 U
Precio de origen: 1.10 € por envase/pieza o formato publicado
Valor de la celda: 1.10 €/ud.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https://tienda.consum.es/es/c/drogueria/accesorios-utensilios-limpieza/1240</t>
      </text>
    </comment>
    <comment ref="G247" authorId="2" shapeId="0">
      <text>
        <t>Producto consultado: ESSELT Friegasuelos aire fresco, 1,5 l
Formato: 1,5 l
Precio de origen: 0.89 € por envase/pieza o formato publicado
Valor de la celda: 0.89 €/ud.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https://www.aldi.es/producto/friegasuelos-aire-fresco-300101.html</t>
      </text>
    </comment>
    <comment ref="I247" authorId="1" shapeId="0">
      <text>
        <t>Producto consultado: CONSUM Friegasuelos Aroma a Pino 1,5 L
Formato: 1,5 L
Precio de origen: 0.95 € por envase/pieza o formato publicado
Valor de la celda: 0.95 €/ud.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https://tienda.consum.es/es/c/drogueria/limpieza-banos/5057</t>
      </text>
    </comment>
    <comment ref="G248" authorId="2" shapeId="0">
      <text>
        <t>Producto consultado: ESSELT Gel WC con lejía, 1 l
Formato: 1 l
Precio de origen: 0.89 € por envase/pieza o formato publicado
Valor de la celda: 0.89 €/ud.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https://www.aldi.es/producto/gel-wc-con-lejia-472500.html</t>
      </text>
    </comment>
    <comment ref="I248" authorId="1" shapeId="0">
      <text>
        <t>Producto consultado: CONSUM Limpiador Gel WC Oceánico 1 L
Formato: 1 L
Precio de origen: 1.15 € por envase/pieza o formato publicado
Valor de la celda: 1.15 €/ud.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https://tienda.consum.es/es/c/drogueria/limpieza-banos/5057</t>
      </text>
    </comment>
    <comment ref="E249" authorId="1" shapeId="0">
      <text>
        <t>Producto consultado: Guantes de látex Bosque Verde talla mediana-grande
Formato: 50 ud
Precio de origen: 3.00 € por envase/pieza o formato publicado
Valor de la celda: 3.00 €/ud.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https://cestio.es/mercadona/limpieza-y-hogar</t>
      </text>
    </comment>
    <comment ref="I249" authorId="1" shapeId="0">
      <text>
        <t>Producto consultado: CONSUM Guantes Látex Talla Pequeña/Mediana 50 U
Formato: 50 U
Precio de origen: 3.10 € por envase/pieza o formato publicado
Valor de la celda: 3.10 €/ud.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https://tienda.consum.es/es/c/drogueria/accesorios-utensilios-limpieza/1240</t>
      </text>
    </comment>
    <comment ref="G250" authorId="2" shapeId="0">
      <text>
        <t>Producto consultado: ESSELT Insecticida para moscas y mosquitos, 750 ml
Formato: 750 ml
Precio de origen: 2.25 € por envase/pieza o formato publicado
Valor de la celda: 2.25 €/ud.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https://www.aldi.es/producto/insecticida-para-moscas-y-mosquitos-601482300.html</t>
      </text>
    </comment>
    <comment ref="I250" authorId="1" shapeId="0">
      <text>
        <t>Producto consultado: CUCAL Insecticida Cucarachas Spray 400 ml
Formato: 400 ml
Precio de origen: 6.65 € por envase/pieza o formato publicado
Valor de la celda: 6.65 €/ud.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https://tienda.consum.es/es/c/drogueria/insecticidas/1314</t>
      </text>
    </comment>
    <comment ref="G251" authorId="2" shapeId="0">
      <text>
        <t>Producto consultado: POWER FORCE Lavavajillas a mano, 1,3 l
Formato: 1,3 l
Precio de origen: 0.99 € por envase/pieza o formato publicado
Valor de la celda: 0.99 €/ud.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https://www.aldi.es/producto/lavavajillas-a-mano-601226000.html</t>
      </text>
    </comment>
    <comment ref="H251" authorId="1" shapeId="0">
      <text>
        <t>Producto consultado: Lavavajillas a mano Power Clean Carrefour Expert 1 l.
Formato: 1 l
Precio de origen: 1.45 € por envase/pieza o formato publicado
Valor de la celda: 1.45 €/ud.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https://www.carrefour.es/supermercado/drogueria-y-limpieza/limpieza-cocina/lavavajillas-mano/cat20295/c</t>
      </text>
    </comment>
    <comment ref="G252" authorId="2" shapeId="0">
      <text>
        <t>Producto consultado: ESSELT Lejía, 5 l
Formato: 5 l
Precio de origen: 1.79 € por envase/pieza o formato publicado
Valor de la celda: 1.79 €/ud.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https://www.aldi.es/producto/lejia-316000.html</t>
      </text>
    </comment>
    <comment ref="G253" authorId="2" shapeId="0">
      <text>
        <t>Producto consultado: ESSELT Limpiacristales multiusos, 1 l
Formato: 1 l
Precio de origen: 0.95 € por envase/pieza o formato publicado
Valor de la celda: 0.95 €/ud.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https://www.aldi.es/producto/limpiacristales-multiusos-601449300.html</t>
      </text>
    </comment>
    <comment ref="G255" authorId="2" shapeId="0">
      <text>
        <t>Producto consultado: POWER FORCE Limpiador multiusos, 1,5 l
Formato: 1,5 l
Precio de origen: 1.55 € por envase/pieza o formato publicado
Valor de la celda: 1.55 €/ud.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https://www.aldi.es/producto/limpiador-multiusos-310301.html</t>
      </text>
    </comment>
    <comment ref="I255" authorId="1" shapeId="0">
      <text>
        <t>Producto consultado: TENN Limpiador Multiusos Espuma 0,5 L
Formato: 0,5 L
Precio de origen: 3.65 € por envase/pieza o formato publicado
Valor de la celda: 3.65 €/ud.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https://tienda.consum.es/es/c/drogueria-y-limpieza/1239</t>
      </text>
    </comment>
    <comment ref="G256" authorId="2" shapeId="0">
      <text>
        <t>Producto consultado: POWER FORCE Papel de aluminio, 30 metros
Formato: 30 metros
Precio de origen: 2.15 € por envase/pieza o formato publicado
Valor de la celda: 2.15 €/ud.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https://www.aldi.es/producto/papel-de-aluminio-601307700.html</t>
      </text>
    </comment>
    <comment ref="G257" authorId="2" shapeId="0">
      <text>
        <t>Producto consultado: ESSELT Papel de cocina compacto, 72 metros
Formato: 72 metros
Precio de origen: 2.12 € por envase/pieza o formato publicado
Valor de la celda: 2.12 €/ud.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https://www.aldi.es/producto/papel-de-cocina-compacto-601537900.html</t>
      </text>
    </comment>
    <comment ref="H257" authorId="1" shapeId="0">
      <text>
        <t>Producto consultado: Papel de cocina resistente Maxi Roll Carrefour Essential 1 rollo.
Formato: Envase/pieza publicado; ver nota
Precio de origen: 2.89 € por envase/pieza o formato publicado
Valor de la celda: 2.89 €/ud.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https://www.carrefour.es/supermercado/drogueria-y-limpieza/papel-y-celulosa/cat20046/c</t>
      </text>
    </comment>
    <comment ref="I257" authorId="1" shapeId="0">
      <text>
        <t>Producto consultado: CONSUM Papel Cocina Blanco 4 U
Formato: 4 U
Precio de origen: 2.19 € por envase/pieza o formato publicado
Valor de la celda: 2.19 €/ud.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https://tienda.consum.es/es/c/drogueria/celulosa/papel-cocina/1280</t>
      </text>
    </comment>
    <comment ref="G258" authorId="2" shapeId="0">
      <text>
        <t>Producto consultado: POWER FORCE Papel de horno, 30 unidades
Formato: 30 unidades
Precio de origen: 1.65 € por envase/pieza o formato publicado
Valor de la celda: 1.65 €/ud.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https://www.aldi.es/producto/papel-de-horno-601307900.html</t>
      </text>
    </comment>
    <comment ref="I258" authorId="1" shapeId="0">
      <text>
        <t>Producto consultado: ALBAL Papel de Horno 8 M
Formato: 8 M
Precio de origen: 3.15 € por envase/pieza o formato publicado
Valor de la celda: 3.15 €/ud.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https://tienda.consum.es/es/c/drogueria-limpieza/conservacion-alimentos-moldes/4542</t>
      </text>
    </comment>
    <comment ref="I259" authorId="1" shapeId="0">
      <text>
        <t>Producto consultado: CONSUM Film Transparente 80 M
Formato: 80 M
Precio de origen: 1.65 € por envase/pieza o formato publicado
Valor de la celda: 1.65 €/ud.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https://tienda.consum.es/es/c/drogueria-limpieza/conservacion-alimentos-moldes/4542</t>
      </text>
    </comment>
    <comment ref="H260" authorId="1" shapeId="0">
      <text>
        <t>Producto consultado: Lavavajillas a máquina en pastillas todo en uno limón Carrefour Expert 30 ud.
Formato: 30 ud
Precio de origen: 3.35 € por envase/pieza o formato publicado
Valor de la celda: 3.35 €/ud.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https://www.carrefour.es/supermercado/drogueria-y-limpieza/limpieza-cocina/lavavajillas-maquina/cat20296/c</t>
      </text>
    </comment>
    <comment ref="E261" authorId="1" shapeId="0">
      <text>
        <t>Producto consultado: Pinzas de ropa Bosque Verde
Formato: 24 ud
Precio de origen: 1.50 € por envase/pieza o formato publicado
Valor de la celda: 1.50 €/ud.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https://cestio.es/mercadona/limpieza-y-hogar</t>
      </text>
    </comment>
    <comment ref="G262" authorId="2" shapeId="0">
      <text>
        <t>Producto consultado: POWER FORCE Quitagrasas, 750 ml
Formato: 750 ml
Precio de origen: 1.59 € por envase/pieza o formato publicado
Valor de la celda: 1.59 €/ud.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https://www.aldi.es/producto/quitagrasas-302300.html</t>
      </text>
    </comment>
    <comment ref="G263" authorId="2" shapeId="0">
      <text>
        <t>Producto consultado: TANDIL Quitamanchas con oxígeno activo, 750 ml
Formato: 750 ml
Precio de origen: 1.89 € por envase/pieza o formato publicado
Valor de la celda: 1.89 €/ud.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https://www.aldi.es/producto/quitamanchas-con-oxigeno-activo-32200.html</t>
      </text>
    </comment>
    <comment ref="I263" authorId="1" shapeId="0">
      <text>
        <t>Producto consultado: NEUTREX Quitamanchas Gel Oxy Color 0,95 L
Formato: 0,95 L
Precio de origen: 3.60 € por envase/pieza o formato publicado
Valor de la celda: 3.60 €/ud.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https://tienda.consum.es/es/c/drogueria/cuidado-ropa/5051</t>
      </text>
    </comment>
    <comment ref="I264" authorId="1" shapeId="0">
      <text>
        <t>Producto consultado: FINISH Sal Lavavajillas En Grano 2 Kg
Formato: 2 Kg
Precio de origen: 6.99 € por envase/pieza o formato publicado
Valor de la celda: 6.99 €/ud.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https://tienda.consum.es/es/c/drogueria/limpieza-cocina/5053</t>
      </text>
    </comment>
    <comment ref="E265" authorId="1" shapeId="0">
      <text>
        <t>Producto consultado: Suavizante ropa Azul Bosque Verde concentrado
Formato: 1.6 l
Precio de origen: 1.80 € por envase/pieza o formato publicado
Valor de la celda: 1.80 €/ud.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https://cestio.es/mercadona/limpieza-y-hogar</t>
      </text>
    </comment>
    <comment ref="G265" authorId="2" shapeId="0">
      <text>
        <t>Producto consultado: TANDIL Suavizante concentrado Colonia, 80 lavados
Formato: 80 lavados
Precio de origen: 1.69 € por envase/pieza o formato publicado
Valor de la celda: 1.69 €/ud.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https://www.aldi.es/producto/suavizante-concentrado-colonia-601304702.html</t>
      </text>
    </comment>
    <comment ref="H265" authorId="1" shapeId="0">
      <text>
        <t>Producto consultado: Suavizante concentrado azul Essential Carrefour 80 lavados.
Formato: Envase/pieza publicado; ver nota
Precio de origen: 1.80 € por envase/pieza o formato publicado
Valor de la celda: 1.80 €/ud.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https://www.carrefour.es/supermercado/drogueria-y-limpieza/cuidado-de-la-ropa/cat20044/c</t>
      </text>
    </comment>
    <comment ref="I265" authorId="1" shapeId="0">
      <text>
        <t>Producto consultado: CONSUM Suavizante Concentrado Brisa de Santorini 60 Lv
Formato: 60 Lv
Precio de origen: 2.39 € por envase/pieza o formato publicado
Valor de la celda: 2.39 €/ud.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https://tienda.consum.es/es/c/drogueria/suavizante/1368</t>
      </text>
    </comment>
    <comment ref="E266" authorId="1" shapeId="0">
      <text>
        <t>Producto consultado: Acondicionador instantáneo Protect No+ sin aclarado
Formato: 0.25 l
Precio de origen: 2.50 € por envase/pieza o formato publicado
Valor de la celda: 2.50 €/ud.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https://cestio.es/mercadona/cuidado-del-cabello</t>
      </text>
    </comment>
    <comment ref="G266" authorId="2" shapeId="0">
      <text>
        <t>Producto consultado: LACURA Acondicionador hidratación intensa, 900 ml
Formato: 900 ml
Precio de origen: 2.19 € por envase/pieza o formato publicado
Valor de la celda: 2.19 €/ud.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https://www.aldi.es/producto/acondicionador-hidratacion-intensa-270904.html</t>
      </text>
    </comment>
    <comment ref="H266" authorId="1" shapeId="0">
      <text>
        <t>Producto consultado: Acondicionador sellador de brillo Glycolic Gloss L'Oréal-Elvive 300 ml
Formato: 300 ml
Precio de origen: 4.75 € por envase/pieza o formato publicado
Valor de la celda: 4.75 €/ud.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https://www.carrefour.es/supermercado/cuidado-personal-e-higiene/cuidado-del-cabello/cat20031/c</t>
      </text>
    </comment>
    <comment ref="G267" authorId="2" shapeId="0">
      <text>
        <t>Producto consultado: LACURA Discos de algodón Dúo, 2 x 100 unidades
Formato: 2 x 100 unidades
Precio de origen: 1.39 € por envase/pieza o formato publicado
Valor de la celda: 1.39 €/ud.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https://www.aldi.es/producto/discos-de-algodon-duo-280003.html</t>
      </text>
    </comment>
    <comment ref="H267" authorId="1" shapeId="0">
      <text>
        <t>Producto consultado: Algodón bebé sensitive Carrefour Baby 100 ud.
Formato: 100 ud
Precio de origen: 1.99 € por envase/pieza o formato publicado
Valor de la celda: 1.99 €/ud.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https://www.carrefour.es/supermercado/bebe/cuidado-e-higiene-infantil/cat20049/c</t>
      </text>
    </comment>
    <comment ref="G268" authorId="2" shapeId="0">
      <text>
        <t>Producto consultado: LACURA Bastoncillos algodón biodegradable Estructura, 300 unidades
Formato: 300 unidades
Precio de origen: 1.09 € por envase/pieza o formato publicado
Valor de la celda: 1.09 €/ud.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https://www.aldi.es/producto/bastoncillos-algodon-biodegradable-estructura-206703.html</t>
      </text>
    </comment>
    <comment ref="H268" authorId="1" shapeId="0">
      <text>
        <t>Producto consultado: Bastoncillos de algodón Soft Carrefour 300 ud.
Formato: 300 ud
Precio de origen: 1.35 € por envase/pieza o formato publicado
Valor de la celda: 1.35 €/ud.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https://www.carrefour.es/supermercado/parafarmacia/botiquin/cat20059/c</t>
      </text>
    </comment>
    <comment ref="G269" authorId="2" shapeId="0">
      <text>
        <t>Producto consultado: DENTITEX Cepillos de dientes medio, 2 unidades
Formato: 2 unidades
Precio de origen: 0.57 € por envase/pieza o formato publicado
Valor de la celda: 0.57 €/ud.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https://www.aldi.es/producto/cepillos-de-dientes-medio-270502.html</t>
      </text>
    </comment>
    <comment ref="E270" authorId="1" shapeId="0">
      <text>
        <t>Producto consultado: Champú protección y brillo Deliplus todo tipo de cabello
Formato: 1 l
Precio de origen: 1.35 € por envase/pieza o formato publicado
Valor de la celda: 1.35 €/ud.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https://cestio.es/mercadona/cuidado-del-cabello</t>
      </text>
    </comment>
    <comment ref="G270" authorId="2" shapeId="0">
      <text>
        <t>Producto consultado: LACURA Champú familiar, 1 l
Formato: 1 l
Precio de origen: 1.29 € por envase/pieza o formato publicado
Valor de la celda: 1.29 €/ud.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https://www.aldi.es/producto/champu-familiar-272400.html</t>
      </text>
    </comment>
    <comment ref="H270" authorId="1" shapeId="0">
      <text>
        <t>Producto consultado: Champú para cabello sin vida Hidra Hialurónico Elvive L'Oreal Paris 400 ml.
Formato: 400 ml
Precio de origen: 4.59 € por envase/pieza o formato publicado
Valor de la celda: 4.59 €/ud.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https://www.carrefour.es/supermercado/cuidado-personal-e-higiene/cuidado-del-cabello/cat20031/c</t>
      </text>
    </comment>
    <comment ref="E272" authorId="1" shapeId="0">
      <text>
        <t>Producto consultado: Compresa normal Deliplus sin alas
Formato: 32 ud
Precio de origen: 2.35 € por envase/pieza o formato publicado
Valor de la celda: 2.35 €/ud.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https://cestio.es/mercadona/cuidado-facial-y-corporal</t>
      </text>
    </comment>
    <comment ref="H272" authorId="1" shapeId="0">
      <text>
        <t>Producto consultado: Compresas normal con alas Liberty Evax 12 ud.
Formato: 12 ud
Precio de origen: 3.25 € por envase/pieza o formato publicado
Valor de la celda: 3.25 €/ud.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https://www.carrefour.es/supermercado/cuidado-personal-e-higiene/higiene-intima/cat20035/c</t>
      </text>
    </comment>
    <comment ref="G273" authorId="2" shapeId="0">
      <text>
        <t>Producto consultado: LACURA NATURE Crema facial  hidratante, 50 ml
Formato: 50 ml
Precio de origen: 5.99 € por envase/pieza o formato publicado
Valor de la celda: 5.99 €/ud.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https://www.aldi.es/producto/crema-facial-hidratante-43104.html</t>
      </text>
    </comment>
    <comment ref="I273" authorId="1" shapeId="0">
      <text>
        <t>Producto consultado: NIVEA Crema Hidrantante Soft Cara,Cuerpo y Manos 50 ml
Formato: 50 ml
Precio de origen: 1.49 € por envase/pieza o formato publicado
Valor de la celda: 1.49 €/ud.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https://tienda.consum.es/es/c/cuidado/cuidado-corporal/1403</t>
      </text>
    </comment>
    <comment ref="E274" authorId="1" shapeId="0">
      <text>
        <t>Producto consultado: Maquinillas de afeitar desechables Deliplus Fix 2 hojas
Formato: 10 ud
Precio de origen: 1.10 € por envase/pieza o formato publicado
Valor de la celda: 1.10 €/ud.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https://cestio.es/mercadona/cuidado-facial-y-corporal</t>
      </text>
    </comment>
    <comment ref="G274" authorId="2" shapeId="0">
      <text>
        <t>Producto consultado: LACURA Maquinilla de afeitar azul, 10 unidades
Formato: 10 unidades
Precio de origen: 0.99 € por envase/pieza o formato publicado
Valor de la celda: 0.99 €/ud.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https://www.aldi.es/producto/maquinilla-de-afeitar-azul-600073301.html</t>
      </text>
    </comment>
    <comment ref="I274" authorId="1" shapeId="0">
      <text>
        <t>Producto consultado: NEXTGEN Maquinilla de Afeitar 3H Desechable 4 U
Formato: 4 U
Precio de origen: 1.95 € por envase/pieza o formato publicado
Valor de la celda: 1.95 €/ud.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https://tienda.consum.es/es/c/cuidado/afeitado-y-cuidado-masculino/5132</t>
      </text>
    </comment>
    <comment ref="G275" authorId="2" shapeId="0">
      <text>
        <t>Producto consultado: LACURA BODY Desodorante en spray Pure, 200 ml
Formato: 200 ml
Precio de origen: 1.59 € por envase/pieza o formato publicado
Valor de la celda: 1.59 €/ud.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https://www.aldi.es/producto/desodorante-en-spray-pure-943902.html</t>
      </text>
    </comment>
    <comment ref="H275" authorId="1" shapeId="0">
      <text>
        <t>Producto consultado: Desodorante roll-on antitranspirante original Dove 50 ml.
Formato: 50 ml
Precio de origen: 2.65 € por envase/pieza o formato publicado
Valor de la celda: 2.65 €/ud.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https://www.carrefour.es/supermercado/cuidado-personal-e-higiene/bano-e-higiene-corporal/cat20028/c</t>
      </text>
    </comment>
    <comment ref="I275" authorId="1" shapeId="0">
      <text>
        <t>Producto consultado: PALMOLIVE Desodorante Roll-On Tacto Puro N.B 50 ml
Formato: 50 ml
Precio de origen: 1.69 € por envase/pieza o formato publicado
Valor de la celda: 1.69 €/ud.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https://tienda.consum.es/es/c/cuidado-personal/2814</t>
      </text>
    </comment>
    <comment ref="H276" authorId="1" shapeId="0">
      <text>
        <t>Producto consultado: Enjuague bucal Cuidado Total Listerine 1 l.
Formato: 1 l
Precio de origen: 9.35 € por envase/pieza o formato publicado
Valor de la celda: 9.35 €/ud.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https://www.carrefour.es/supermercado/cuidado-personal-e-higiene/higiene-bucal/cat20030/c</t>
      </text>
    </comment>
    <comment ref="I276" authorId="1" shapeId="0">
      <text>
        <t>Producto consultado: LISTERINE Enjuague Bucal Total Care 500 ml
Formato: 500 ml
Precio de origen: 5.15 € por envase/pieza o formato publicado
Valor de la celda: 5.15 €/ud.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https://tienda.consum.es/es/c/cuidado/higiene-bucal/1456</t>
      </text>
    </comment>
    <comment ref="G277" authorId="2" shapeId="0">
      <text>
        <t>Producto consultado: LACURA Espuma de afeitar, 300 ml
Formato: 300 ml
Precio de origen: 1.25 € por envase/pieza o formato publicado
Valor de la celda: 1.25 €/ud.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https://www.aldi.es/producto/espuma-de-afeitar-35300.html</t>
      </text>
    </comment>
    <comment ref="E278" authorId="1" shapeId="0">
      <text>
        <t>Producto consultado: Gel de baño frescor azul Deliplus piel normal
Formato: 0.75 l
Precio de origen: 0.95 € por envase/pieza o formato publicado
Valor de la celda: 0.95 €/ud.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https://cestio.es/mercadona/cuidado-facial-y-corporal</t>
      </text>
    </comment>
    <comment ref="G278" authorId="2" shapeId="0">
      <text>
        <t>Producto consultado: LACURA Gel de ducha clásico, 750 ml
Formato: 750 ml
Precio de origen: 1.49 € por envase/pieza o formato publicado
Valor de la celda: 1.49 €/ud.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https://www.aldi.es/producto/gel-de-ducha-clasico-600727106.html</t>
      </text>
    </comment>
    <comment ref="H278" authorId="1" shapeId="0">
      <text>
        <t>Producto consultado: Gel de ducha frutal Simpl Choice 1 l.
Formato: 1 l
Precio de origen: 1.19 € por envase/pieza o formato publicado
Valor de la celda: 1.19 €/ud.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https://www.carrefour.es/supermercado/cuidado-personal-e-higiene/bano-e-higiene-corporal/cat20028/c</t>
      </text>
    </comment>
    <comment ref="I278" authorId="1" shapeId="0">
      <text>
        <t>Producto consultado: KYREY Gel de Baño Leche y Avena 750 ml
Formato: 750 ml
Precio de origen: 1.60 € por envase/pieza o formato publicado
Valor de la celda: 1.60 €/ud.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https://tienda.consum.es/es/c/cuidado/higiene-corporal/5129</t>
      </text>
    </comment>
    <comment ref="H280" authorId="1" shapeId="0">
      <text>
        <t>Producto consultado: Hilo dental Carrefour Soft pack de 2 unidades de 50 m.
Formato: 50 m
Precio de origen: 1.80 € por envase/pieza o formato publicado
Valor de la celda: 1.80 €/ud.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https://www.carrefour.es/supermercado/cuidado-personal-e-higiene/higiene-bucal/cat20030/c</t>
      </text>
    </comment>
    <comment ref="E281" authorId="1" shapeId="0">
      <text>
        <t>Producto consultado: Jabón de manos dermoprotector Deliplus
Formato: 0.5 l
Precio de origen: 0.80 € por envase/pieza o formato publicado
Valor de la celda: 0.80 €/ud.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https://cestio.es/mercadona/cuidado-facial-y-corporal</t>
      </text>
    </comment>
    <comment ref="G281" authorId="2" shapeId="0">
      <text>
        <t>Producto consultado: LACURA Jabón de manos, 500 ml
Formato: 500 ml
Precio de origen: 0.75 € por envase/pieza o formato publicado
Valor de la celda: 0.75 €/ud.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https://www.aldi.es/producto/jabon-de-manos-584100.html</t>
      </text>
    </comment>
    <comment ref="I281" authorId="1" shapeId="0">
      <text>
        <t>Producto consultado: KYREY Jabón de Manos Líquido Dermo 500 ml
Formato: 500 ml
Precio de origen: 0.80 € por envase/pieza o formato publicado
Valor de la celda: 0.80 €/ud.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https://tienda.consum.es/es/c/cuidado/higiene-corporal/5129</t>
      </text>
    </comment>
    <comment ref="E282" authorId="1" shapeId="0">
      <text>
        <t>Producto consultado: Laca cabello Nelly
Formato: 0.4 l
Precio de origen: 2.45 € por envase/pieza o formato publicado
Valor de la celda: 2.45 €/ud.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https://cestio.es/mercadona/cuidado-del-cabello</t>
      </text>
    </comment>
    <comment ref="G282" authorId="2" shapeId="0">
      <text>
        <t>Producto consultado: LACURA Laca para el cabello, 400 ml
Formato: 400 ml
Precio de origen: 1.79 € por envase/pieza o formato publicado
Valor de la celda: 1.79 €/ud.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https://www.aldi.es/producto/laca-para-el-cabello-601621701.html</t>
      </text>
    </comment>
    <comment ref="H282" authorId="1" shapeId="0">
      <text>
        <t>Producto consultado: Laca fijación normal de larga duración Carrefour 300 ml.
Formato: 300 ml
Precio de origen: 1.42 € por envase/pieza o formato publicado
Valor de la celda: 1.42 €/ud.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https://www.carrefour.es/supermercado/cuidado-personal-e-higiene/cuidado-del-cabello/cat20031/c</t>
      </text>
    </comment>
    <comment ref="G283" authorId="2" shapeId="0">
      <text>
        <t>Producto consultado: ESSELT Papel higiénico, 167,2 metros
Formato: 167,2 metros
Precio de origen: 3.39 € por envase/pieza o formato publicado
Valor de la celda: 3.39 €/ud.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https://www.aldi.es/producto/papel-higienico-349900.html</t>
      </text>
    </comment>
    <comment ref="H283" authorId="1" shapeId="0">
      <text>
        <t>Producto consultado: Papel higiénico compact doble rollo Carrefour 12 rollos.
Formato: 12 rollos
Precio de origen: 4.38 € por envase/pieza o formato publicado
Valor de la celda: 4.38 €/ud.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https://www.carrefour.es/supermercado/drogueria-y-limpieza/papel-y-celulosa/cat20046/c</t>
      </text>
    </comment>
    <comment ref="I283" authorId="1" shapeId="0">
      <text>
        <t>Producto consultado: CONSUM Higiénico Doble Capa 12 U
Formato: 12 U
Precio de origen: 2.50 € por envase/pieza o formato publicado
Valor de la celda: 2.50 €/ud.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https://tienda.consum.es/es/c/drogueria/celulosa/papel-higienico/1279</t>
      </text>
    </comment>
    <comment ref="G284" authorId="2" shapeId="0">
      <text>
        <t>Producto consultado: DENTITEX Dentífrico Cool Fresh, 125 ml
Formato: 125 ml
Precio de origen: 1.25 € por envase/pieza o formato publicado
Valor de la celda: 1.25 €/ud.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https://www.aldi.es/producto/dentifrico-cool-fresh-276201.html</t>
      </text>
    </comment>
    <comment ref="H284" authorId="1" shapeId="0">
      <text>
        <t>Producto consultado: Dentífrico triple action sabor menta intenso Colgate 100 ml.
Formato: 100 ml
Precio de origen: 1.95 € por envase/pieza o formato publicado
Valor de la celda: 1.95 €/ud.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https://www.carrefour.es/supermercado/cuidado-personal-e-higiene/higiene-bucal/cat20030/c</t>
      </text>
    </comment>
    <comment ref="I284" authorId="1" shapeId="0">
      <text>
        <t>Producto consultado: KYREY Dentífrico Blanqueador 75 ml
Formato: 75 ml
Precio de origen: 0.99 € por envase/pieza o formato publicado
Valor de la celda: 0.99 €/ud.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https://tienda.consum.es/es/c/cuidado/higiene-bucal/1456</t>
      </text>
    </comment>
    <comment ref="E285" authorId="1" shapeId="0">
      <text>
        <t>Producto consultado: Pañuelos de papel Aloe Vera Bosque Verde
Formato: 10 ud
Precio de origen: 1.65 € por envase/pieza o formato publicado
Valor de la celda: 1.65 €/ud.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https://cestio.es/mercadona/limpieza-y-hogar</t>
      </text>
    </comment>
    <comment ref="G285" authorId="2" shapeId="0">
      <text>
        <t>Producto consultado: ESSELT Pañuelos faciales, 200 uds
Formato: 200 uds
Precio de origen: 1.25 € por envase/pieza o formato publicado
Valor de la celda: 1.25 €/ud.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https://www.aldi.es/producto/panuelos-faciales-574401.html</t>
      </text>
    </comment>
    <comment ref="G286" authorId="2" shapeId="0">
      <text>
        <t>Producto consultado: LACURA SUN Leche solar, 250 ml
Formato: 250 ml
Precio de origen: 5.99 € por envase/pieza o formato publicado
Valor de la celda: 5.99 €/ud.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https://www.aldi.es/producto/leche-solar-601650202.html</t>
      </text>
    </comment>
    <comment ref="I286" authorId="1" shapeId="0">
      <text>
        <t>Producto consultado: HAWAIIAN Protector Solar FP 30 180 ml
Formato: 180 ml
Precio de origen: 12.95 € por envase/pieza o formato publicado
Valor de la celda: 12.95 €/ud.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https://tienda.consum.es/es/c/cuidado/solares/1412</t>
      </text>
    </comment>
    <comment ref="E287" authorId="1" shapeId="0">
      <text>
        <t>Producto consultado: Tampones mini Deliplus con aplicador suave
Formato: 20 ud
Precio de origen: 2.75 € por envase/pieza o formato publicado
Valor de la celda: 2.75 €/ud.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https://cestio.es/mercadona/cuidado-facial-y-corporal</t>
      </text>
    </comment>
    <comment ref="G287" authorId="2" shapeId="0">
      <text>
        <t>Producto consultado: TAMPAX Tampones pearl regular, 24 unidades
Formato: 24 unidades
Precio de origen: 4.40 € por envase/pieza o formato publicado
Valor de la celda: 4.40 €/ud.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https://www.aldi.es/producto/tampones-pearl-regular-601586701.html</t>
      </text>
    </comment>
    <comment ref="I287" authorId="1" shapeId="0">
      <text>
        <t>Producto consultado: OB Tampones Digital Super 32 U
Formato: 32 U
Precio de origen: 4.95 € por envase/pieza o formato publicado
Valor de la celda: 4.95 €/ud.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https://tienda.consum.es/es/c/cuidado-personal/2814</t>
      </text>
    </comment>
    <comment ref="E288" authorId="1" shapeId="0">
      <text>
        <t>Producto consultado: Toallitas desmaquillantes cara y ojos Deliplus piel normal-mixta
Formato: 25 ud
Precio de origen: 1.15 € por envase/pieza o formato publicado
Valor de la celda: 1.15 €/ud.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https://cestio.es/mercadona/cuidado-facial-y-corporal</t>
      </text>
    </comment>
    <comment ref="G288" authorId="2" shapeId="0">
      <text>
        <t>Producto consultado: LACURA Toallitas desmaquillantes refrescantes, 25 unidades
Formato: 25 unidades
Precio de origen: 1.35 € por envase/pieza o formato publicado
Valor de la celda: 1.35 €/ud.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https://www.aldi.es/producto/toallitas-desmaquillantes-refrescantes-379004.html</t>
      </text>
    </comment>
    <comment ref="E289" authorId="1" shapeId="0">
      <text>
        <t>Producto consultado: Champú infantil Kids 3 en 1 Deliplus
Formato: 0.3 l
Precio de origen: 1.70 € por envase/pieza o formato publicado
Valor de la celda: 1.70 €/ud.
ud significa el envase, pack o pieza descrito; no una unidad interna del multipack.
Consultado: 04/10/2026. Fecha de registro de fuente: 2026-10-01.
Fuente indirecta: Cestio, precio registrado para Mercadona; no confirmado directamente en tienda.
URL: https://cestio.es/mercadona/cuidado-del-cabello</t>
      </text>
    </comment>
    <comment ref="H289" authorId="1" shapeId="0">
      <text>
        <t>Producto consultado: Champú Johnson's Baby 500 ml.
Formato: 500 ml
Precio de origen: 5.35 € por envase/pieza o formato publicado
Valor de la celda: 5.35 €/ud.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https://www.carrefour.es/supermercado/bebe/cuidado-e-higiene-infantil/cat20049/c</t>
      </text>
    </comment>
    <comment ref="H292" authorId="1" shapeId="0">
      <text>
        <t>Producto consultado: Leche infantil para lactantes en polvo Nestlé Nidina 1 lata 800 g.
Formato: 800 g
Precio de origen: 14.95 € por envase/pieza o formato publicado
Valor de la celda: 14.95 €/ud.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https://www.carrefour.es/supermercado/bebe/alimentacion-infantil/leches-infantiles/cat20334/c</t>
      </text>
    </comment>
    <comment ref="H294" authorId="1" shapeId="0">
      <text>
        <t>Producto consultado: Pañales ultra dry My Carrefour Baby Talla 6 (+16 kg) 70 ud.
Formato: 70 ud
Precio de origen: 13.99 € por envase/pieza o formato publicado
Valor de la celda: 13.99 €/ud.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https://www.carrefour.es/supermercado/bebe/panales/cat20050/c</t>
      </text>
    </comment>
    <comment ref="H295" authorId="1" shapeId="0">
      <text>
        <t>Producto consultado: Tarrito de arroz con pavo y verduritas desde 10 meses ecológico Cachitos Smileat sin gluten 230 g.
Formato: 230 g
Precio de origen: 2.59 € por envase/pieza o formato publicado
Valor de la celda: 2.59 €/ud.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https://www.carrefour.es/supermercado/bebe/alimentacion-infantil/tarritos-y-platos-preparados/cat20338/c</t>
      </text>
    </comment>
    <comment ref="G296" authorId="2" shapeId="0">
      <text>
        <t>Producto consultado: MAMIA Toallitas Sensitive para bebé, 80 uds
Formato: 80 uds
Precio de origen: 0.92 € por envase/pieza o formato publicado
Valor de la celda: 0.92 €/ud.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https://www.aldi.es/producto/toallitas-sensitive-para-bebe-332401.html</t>
      </text>
    </comment>
    <comment ref="H296" authorId="1" shapeId="0">
      <text>
        <t>Producto consultado: Toallitas para bebé fresh My Carrefour Baby 80 ud.
Formato: 80 ud
Precio de origen: 0.95 € por envase/pieza o formato publicado
Valor de la celda: 0.95 €/ud.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https://www.carrefour.es/supermercado/bebe/cat20006/c</t>
      </text>
    </comment>
    <comment ref="E297" authorId="1" shapeId="0">
      <text>
        <t>Producto consultado: Arena para gato antibacterias Nuske
Formato: 5 kg
Precio de origen: 1.60 € por envase/pieza o formato publicado
Valor de la celda: 1.60 €/ud.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https://cestio.es/mercadona/mascotas</t>
      </text>
    </comment>
    <comment ref="G297" authorId="2" shapeId="0">
      <text>
        <t>Producto consultado: KIMBA Arena perfumada para gatos, 5 kg
Formato: 5 kg
Precio de origen: 1.89 € por envase/pieza o formato publicado
Valor de la celda: 1.89 €/ud.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https://www.aldi.es/producto/arena-perfumada-para-gatos-529800.html</t>
      </text>
    </comment>
    <comment ref="H297" authorId="1" shapeId="0">
      <text>
        <t>Producto consultado: Arena Absorbente para Gatos 7L 4,7 kg , Carrefour
Formato: 4,7 kg
Precio de origen: 1.45 € por envase/pieza o formato publicado
Valor de la celda: 1.45 €/ud.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https://www.carrefour.es/supermercado/mascotas/gatos/cat20054/c</t>
      </text>
    </comment>
    <comment ref="I297" authorId="1" shapeId="0">
      <text>
        <t>Producto consultado: CITYCAT Arena de Gato Ultra City Aglomerante 4 Kg
Formato: 4 Kg
Precio de origen: 2.95 € por envase/pieza o formato publicado
Valor de la celda: 2.95 €/ud.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https://tienda.consum.es/es/c/mascotas/gatos/4055</t>
      </text>
    </comment>
    <comment ref="G299" authorId="2" shapeId="0">
      <text>
        <t>Producto consultado: FELIX Comida húmeda para gatos con pollo y buey, 6 x 85 g
Formato: 6 x 85 g
Precio de origen: 3.79 € por envase/pieza o formato publicado
Valor de la celda: 3.79 €/ud.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https://www.aldi.es/producto/comida-humeda-para-gatos-con-pollo-y-buey-601926102.html</t>
      </text>
    </comment>
    <comment ref="H299" authorId="1" shapeId="0">
      <text>
        <t>Producto consultado: Comida húmeda de pollo para gato Vitalive Carrefour 100 g.
Formato: 100 g
Precio de origen: 0.33 € por envase/pieza o formato publicado
Valor de la celda: 0.33 €/ud.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https://www.carrefour.es/supermercado/mascotas/gatos/cat20054/c</t>
      </text>
    </comment>
    <comment ref="I299" authorId="1" shapeId="0">
      <text>
        <t>Producto consultado: GOURMET Comida Húmeda Gatos Gourmet Gold Pollo 85 Gr
Formato: 85 Gr
Precio de origen: 0.92 € por envase/pieza o formato publicado
Valor de la celda: 0.92 €/ud.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https://tienda.consum.es/es/c/mascotas/gatos/4055</t>
      </text>
    </comment>
    <comment ref="H300" authorId="1" shapeId="0">
      <text>
        <t>Producto consultado: Comida húmeda de buey para perro adulto Carrefour 300 g.
Formato: 300 g
Precio de origen: 0.89 € por envase/pieza o formato publicado
Valor de la celda: 0.89 €/ud.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https://www.carrefour.es/supermercado/mascotas/perros/cat20057/c</t>
      </text>
    </comment>
    <comment ref="I300" authorId="1" shapeId="0">
      <text>
        <t>Producto consultado: CESAR Comida Húmeda Perros Pollo Tarrina 150 150 Gr
Formato: 150 Gr
Precio de origen: 1.29 € por envase/pieza o formato publicado
Valor de la celda: 1.29 €/ud.
ud significa el envase, pack o pieza descrito; no una unidad interna del multipack.
Oferta desde 09/23/2026 hasta 10/21/2026
Consultado: 04/10/2026. Fecha de registro de fuente: 2026-10-04.
Fuente: web pública de Consum. La tienda, zona y disponibilidad pueden cambiar el precio.
URL: https://tienda.consum.es/es/c/mascotas/perros/1491</t>
      </text>
    </comment>
    <comment ref="G301" authorId="2" shapeId="0">
      <text>
        <t>Producto consultado: CACHET Pienso para gatos con pollo y aves, 2 kg
Formato: 2 kg
Precio de origen: 2.89 € por envase/pieza o formato publicado
Valor de la celda: 2.89 €/ud.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https://www.aldi.es/producto/pienso-para-gatos-con-pollo-y-aves-601301702.html</t>
      </text>
    </comment>
    <comment ref="I301" authorId="1" shapeId="0">
      <text>
        <t>Producto consultado: BREKKIES Comida Seca Gatos Pescado 1,5 Kg
Formato: 1,5 Kg
Precio de origen: 3.99 € por envase/pieza o formato publicado
Valor de la celda: 2.66 €/kg.
Oferta desde 09/23/2026 hasta 10/21/2026
Consultado: 04/10/2026. Fecha de registro de fuente: 2026-10-04.
Fuente: web pública de Consum. La tienda, zona y disponibilidad pueden cambiar el precio.
URL: https://tienda.consum.es/es/c/mascotas/gatos/4055</t>
      </text>
    </comment>
    <comment ref="G302" authorId="2" shapeId="0">
      <text>
        <t>Producto consultado: ROMEO Pienso para perro, 3 kg
Formato: 3 kg
Precio de origen: 6.99 € por envase/pieza o formato publicado
Valor de la celda: 6.99 €/ud.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https://www.aldi.es/producto/pienso-para-perro-601563100.html</t>
      </text>
    </comment>
    <comment ref="H302" authorId="1" shapeId="0">
      <text>
        <t>Producto consultado: Pienso de buey, cereales y verduras para perro adulto Purina Friskies 15 kg.
Formato: 15 kg
Precio de origen: 33.30 € por envase/pieza o formato publicado
Valor de la celda: 2.22 €/kg.
Consultado: 04/10/2026. Fecha de registro de fuente: 2026-10-04.
Fuente: web pública de Carrefour. La tienda, zona y disponibilidad pueden cambiar el precio.
URL: https://www.carrefour.es/supermercado/mascotas/perros/cat20057/c</t>
      </text>
    </comment>
    <comment ref="I302" authorId="1" shapeId="0">
      <text>
        <t>Producto consultado: PURINA ONE Comida Seca Perros Razas Mini Adulto 1,5 Kg
Formato: 1,5 Kg
Precio de origen: 5.75 € por envase/pieza o formato publicado
Valor de la celda: 3.83 €/kg.
Oferta desde 09/23/2026 hasta 10/21/2026
Consultado: 04/10/2026. Fecha de registro de fuente: 2026-10-04.
Fuente: web pública de Consum. La tienda, zona y disponibilidad pueden cambiar el precio.
URL: https://tienda.consum.es/es/c/mascotas/perros/1491</t>
      </text>
    </comment>
    <comment ref="E303" authorId="1" shapeId="0">
      <text>
        <t>Producto consultado: Snack galletas con pollo y ternera perro adulto Compy razas medianas y grandes
Formato: 0.7 kg
Precio de origen: 1.95 € por envase/pieza o formato publicado
Valor de la celda: 1.95 €/ud.
ud significa el envase, pack o pieza descrito; no una unidad interna del multipack.
Consultado: 04/10/2026. Fecha de registro de fuente: 2026-10-02.
Fuente indirecta: Cestio, precio registrado para Mercadona; no confirmado directamente en tienda.
URL: https://cestio.es/mercadona/mascotas</t>
      </text>
    </comment>
    <comment ref="H303" authorId="1" shapeId="0">
      <text>
        <t>Producto consultado: Snack de buey para perro Vitakraft Beef Stick
Formato: Envase/pieza publicado; ver nota
Precio de origen: 0.59 € por envase/pieza o formato publicado
Valor de la celda: 0.59 €/ud.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https://www.carrefour.es/supermercado/mascotas/perros/cat20057/c</t>
      </text>
    </comment>
    <comment ref="I303" authorId="1" shapeId="0">
      <text>
        <t>Producto consultado: PEDIGREE Snack Dental Perros Dentastix Perros Pequeñ 110 Gr
Formato: 110 Gr
Precio de origen: 1.99 € por envase/pieza o formato publicado
Valor de la celda: 1.99 €/ud.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https://tienda.consum.es/es/c/mascotas/perros/1491</t>
      </text>
    </comment>
    <comment ref="H304" authorId="1" shapeId="0">
      <text>
        <t>Producto consultado: Agua oxigenada 250 ml.
Formato: 250 ml
Precio de origen: 0.70 € por envase/pieza o formato publicado
Valor de la celda: 0.70 €/ud.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https://www.carrefour.es/supermercado/parafarmacia/botiquin/cuidado-de-heridas/cat32684421/c</t>
      </text>
    </comment>
    <comment ref="H305" authorId="1" shapeId="0">
      <text>
        <t>Producto consultado: Alcohol Carrefour 500 ml.
Formato: 500 ml
Precio de origen: 1.81 € por envase/pieza o formato publicado
Valor de la celda: 1.81 €/ud.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https://www.carrefour.es/supermercado/parafarmacia/botiquin/cuidado-de-heridas/cat32684421/c</t>
      </text>
    </comment>
    <comment ref="I307" authorId="1" shapeId="0">
      <text>
        <t>Producto consultado: BEL BABY Gasas no Tejidas Ojos y Cara 100 U
Formato: 100 U
Precio de origen: 2.00 € por envase/pieza o formato publicado
Valor de la celda: 2.00 €/ud.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https://tienda.consum.es/es/c/cuidado/parafarmacia/5050</t>
      </text>
    </comment>
    <comment ref="H313" authorId="1" shapeId="0">
      <text>
        <t>Producto consultado: Tiritas universal Hansaplast 40 ud.
Formato: 40 ud
Precio de origen: 2.99 € por envase/pieza o formato publicado
Valor de la celda: 2.99 €/ud.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https://www.carrefour.es/supermercado/parafarmacia/botiquin/cuidado-de-heridas/cat32684421/c</t>
      </text>
    </comment>
    <comment ref="F315" authorId="1" shapeId="0">
      <text>
        <t>Producto consultado: Cable de extensión, 10 m.
Formato: 10 m
Precio de origen: 16.99 € por envase/pieza o formato publicado
Valor de la celda: 16.99 €/ud.
ud significa el envase, pack o pieza descrito; no una unidad interna del multipack.
Consultado: 04/10/2026. Fecha de registro de fuente: 2026-10-04.
Fuente: web pública de Lidl. La tienda, zona y disponibilidad pueden cambiar el precio.
URL: https://www.lidl.es/p/parkside-cable-de-extension-10-m/p100409012</t>
      </text>
    </comment>
    <comment ref="F317" authorId="1" shapeId="0">
      <text>
        <t>Producto consultado: Alfombra 115 x 180 cm
Formato: Envase/pieza publicado; ver nota
Precio de origen: 21.99 € por envase/pieza o formato publicado
Valor de la celda: 21.99 €/ud.
ud significa el envase, pack o pieza descrito; no una unidad interna del multipack.
Consultado: 04/10/2026. Fecha de registro de fuente: 2026-10-04.
Fuente: web pública de Lidl. La tienda, zona y disponibilidad pueden cambiar el precio.
URL: https://www.lidl.es/h/alfombras/h10084837</t>
      </text>
    </comment>
    <comment ref="F318" authorId="1" shapeId="0">
      <text>
        <t>Producto consultado: Almohada 50 x 75 cm
Formato: Envase/pieza publicado; ver nota
Precio de origen: 5.99 € por envase/pieza o formato publicado
Valor de la celda: 5.99 €/ud.
ud significa el envase, pack o pieza descrito; no una unidad interna del multipack.
Consultado: 04/10/2026. Fecha de registro de fuente: 2026-10-04.
Fuente: web pública de Lidl. La tienda, zona y disponibilidad pueden cambiar el precio.
URL: https://www.lidl.es/p/livarno-almohada-50-x-75-cm/p100409159</t>
      </text>
    </comment>
    <comment ref="F319" authorId="1" shapeId="0">
      <text>
        <t>Producto consultado: Bombillas LED, set de 10
Formato: Envase/pieza publicado; ver nota
Precio de origen: 4.99 € por envase/pieza o formato publicado
Valor de la celda: 4.99 €/ud.
ud significa el envase, pack o pieza descrito; no una unidad interna del multipack.
Consultado: 04/10/2026. Fecha de registro de fuente: 2026-10-04.
Fuente: web pública de Lidl. La tienda, zona y disponibilidad pueden cambiar el precio.
URL: https://www.lidl.es/h/bombillas/h10084855</t>
      </text>
    </comment>
    <comment ref="F322" authorId="1" shapeId="0">
      <text>
        <t>Producto consultado: Cazo de acero inoxidable prémium, Ø 16 cm.
Formato: Envase/pieza publicado; ver nota
Precio de origen: 14.99 € por envase/pieza o formato publicado
Valor de la celda: 14.99 €/ud.
ud significa el envase, pack o pieza descrito; no una unidad interna del multipack.
Consultado: 04/10/2026. Fecha de registro de fuente: 2026-10-04.
Fuente: web pública de Lidl. La tienda, zona y disponibilidad pueden cambiar el precio.
URL: https://www.lidl.es/p/silvercrest-cazo-de-acero-inoxidable-premium-o-16-cm/p100401171</t>
      </text>
    </comment>
    <comment ref="F326" authorId="1" shapeId="0">
      <text>
        <t>Producto consultado: Juego de 2 cortinas opacas
Formato: Envase/pieza publicado; ver nota
Precio de origen: 16.99 € por envase/pieza o formato publicado
Valor de la celda: 16.99 €/ud.
ud significa el envase, pack o pieza descrito; no una unidad interna del multipack.
Consultado: 04/10/2026. Fecha de registro de fuente: 2026-10-04.
Fuente: web pública de Lidl. La tienda, zona y disponibilidad pueden cambiar el precio.
URL: https://www.lidl.es/h/decoracion-hogar/h10067559</t>
      </text>
    </comment>
    <comment ref="F327" authorId="1" shapeId="0">
      <text>
        <t>Producto consultado: Set de cubiertos para barbacoa en bolsa de almacenamiento
Formato: Envase/pieza publicado; ver nota
Precio de origen: 9.99 € por envase/pieza o formato publicado
Valor de la celda: 9.99 €/ud.
ud significa el envase, pack o pieza descrito; no una unidad interna del multipack.
Consultado: 04/10/2026. Fecha de registro de fuente: 2026-10-04.
Fuente: web pública de Lidl. La tienda, zona y disponibilidad pueden cambiar el precio.
URL: https://www.lidl.es/p/grillmeister-set-de-cubiertos-para-barbacoa-en-bolsa-de-almacenamiento/p100388366</t>
      </text>
    </comment>
    <comment ref="F328" authorId="1" shapeId="0">
      <text>
        <t>Producto consultado: Cubo de basura, 2,6 l
Formato: 2,6 l
Precio de origen: 6.99 € por envase/pieza o formato publicado
Valor de la celda: 6.99 €/ud.
ud significa el envase, pack o pieza descrito; no una unidad interna del multipack.
Consultado: 04/10/2026. Fecha de registro de fuente: 2026-10-04.
Fuente: web pública de Lidl. La tienda, zona y disponibilidad pueden cambiar el precio.
URL: https://www.lidl.es/h/equipamiento-de-cocina/h10090805</t>
      </text>
    </comment>
    <comment ref="F331" authorId="1" shapeId="0">
      <text>
        <t>Producto consultado: Felpudo, 40 x 60 cm
Formato: Envase/pieza publicado; ver nota
Precio de origen: 3.99 € por envase/pieza o formato publicado
Valor de la celda: 3.99 €/ud.
ud significa el envase, pack o pieza descrito; no una unidad interna del multipack.
Consultado: 04/10/2026. Fecha de registro de fuente: 2026-10-04.
Fuente: web pública de Lidl. La tienda, zona y disponibilidad pueden cambiar el precio.
URL: https://www.lidl.es/p/livarno-felpudo-40-x-60-cm/p100407533</t>
      </text>
    </comment>
    <comment ref="G332" authorId="2" shapeId="0">
      <text>
        <t>Producto consultado: ESSELT Recambios para fregona, 2 unidades
Formato: 2 unidades
Precio de origen: 1.47 € por envase/pieza o formato publicado
Valor de la celda: 1.47 €/ud.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https://www.aldi.es/producto/recambios-para-fregona-26800.html</t>
      </text>
    </comment>
    <comment ref="H334" authorId="1" shapeId="0">
      <text>
        <t>Producto consultado: Pegamento de Barra
Formato: Envase/pieza publicado; ver nota
Precio de origen: 3.39 € por envase/pieza o formato publicado
Valor de la celda: 3.39 €/ud.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https://www.carrefour.es/supermercado/drogueria-y-limpieza/papeleria/cat260001/c</t>
      </text>
    </comment>
    <comment ref="F335" authorId="1" shapeId="0">
      <text>
        <t>Producto consultado: Perchas pack 10
Formato: Envase/pieza publicado; ver nota
Precio de origen: 4.99 € por envase/pieza o formato publicado
Valor de la celda: 4.99 €/ud.
ud significa el envase, pack o pieza descrito; no una unidad interna del multipack.
Consultado: 04/10/2026. Fecha de registro de fuente: 2026-10-04.
Fuente: web pública de Lidl. La tienda, zona y disponibilidad pueden cambiar el precio.
URL: https://www.lidl.es/p/livarno-home-perchas-pack-10/p100388863002</t>
      </text>
    </comment>
    <comment ref="I336" authorId="1" shapeId="0">
      <text>
        <t>Producto consultado: ENERGIZER Pila Litio Botón CR 2032 2 U
Formato: 2 U
Precio de origen: 4.89 € por envase/pieza o formato publicado
Valor de la celda: 4.89 €/ud.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https://tienda.consum.es/es/c/bazar/desechables/electricidad-pilas-y-bombillas/2462</t>
      </text>
    </comment>
    <comment ref="I337" authorId="1" shapeId="0">
      <text>
        <t>Producto consultado: BAT Pila Alcalina AA 16 U
Formato: 16 U
Precio de origen: 3.35 € por envase/pieza o formato publicado
Valor de la celda: 3.35 €/ud.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https://tienda.consum.es/es/c/bazar/desechables/electricidad-pilas-y-bombillas/2462</t>
      </text>
    </comment>
    <comment ref="I338" authorId="1" shapeId="0">
      <text>
        <t>Producto consultado: BAT Pila Alcalina AAA 16 U
Formato: 16 U
Precio de origen: 3.35 € por envase/pieza o formato publicado
Valor de la celda: 3.35 €/ud.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https://tienda.consum.es/es/c/bazar/desechables/electricidad-pilas-y-bombillas/2462</t>
      </text>
    </comment>
    <comment ref="G339" authorId="1" shapeId="0">
      <text>
        <t>Producto consultado: GARDENLINE Áster, planta
Formato: 1 ud
Precio de origen: 1.99 € por envase/pieza o formato publicado
Valor de la celda: 1.99 €/ud.
ud significa el envase, pack o pieza descrito; no una unidad interna del multipack.
Oferta del 2026-09-30 al 2026-10-04
Consultado: 04/10/2026. Fecha de registro de fuente: 2026-10-04.
Fuente: web pública de Aldi. La tienda, zona y disponibilidad pueden cambiar el precio.
URL: https://www.aldi.es/ofertas.html?cid=APP_aldi_es_stage</t>
      </text>
    </comment>
    <comment ref="E340" authorId="1" shapeId="0">
      <text>
        <t>Producto consultado: Plato postre Bosque Verde
Formato: 15 ud
Precio de origen: 1.45 € por envase/pieza o formato publicado
Valor de la celda: 1.45 €/ud.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https://cestio.es/mercadona/limpieza-y-hogar</t>
      </text>
    </comment>
    <comment ref="F342" authorId="1" shapeId="0">
      <text>
        <t>Producto consultado: Regleta de enchufes con 4 tomas y USB
Formato: Envase/pieza publicado; ver nota
Precio de origen: 11.99 € por envase/pieza o formato publicado
Valor de la celda: 11.99 €/ud.
ud significa el envase, pack o pieza descrito; no una unidad interna del multipack.
Consultado: 04/10/2026. Fecha de registro de fuente: 2026-10-04.
Fuente: web pública de Lidl. La tienda, zona y disponibilidad pueden cambiar el precio.
URL: https://www.lidl.es/p/tronic-regleta-de-enchufes-con-4-tomas-y-usb/p100405652</t>
      </text>
    </comment>
    <comment ref="F343" authorId="1" shapeId="0">
      <text>
        <t>Producto consultado: Sartén de aluminio, 24cm.
Formato: Envase/pieza publicado; ver nota
Precio de origen: 4.99 € por envase/pieza o formato publicado
Valor de la celda: 4.99 €/ud.
ud significa el envase, pack o pieza descrito; no una unidad interna del multipack.
Consultado: 04/10/2026. Fecha de registro de fuente: 2026-10-04.
Fuente: web pública de Lidl. La tienda, zona y disponibilidad pueden cambiar el precio.
URL: https://www.lidl.es/h/sartenes/h10084445</t>
      </text>
    </comment>
    <comment ref="F344" authorId="1" shapeId="0">
      <text>
        <t>Producto consultado: Sábana bajera 180-200 x 200 cm
Formato: Envase/pieza publicado; ver nota
Precio de origen: 5.99 € por envase/pieza o formato publicado
Valor de la celda: 5.99 €/ud.
ud significa el envase, pack o pieza descrito; no una unidad interna del multipack.
Consultado: 04/10/2026. Fecha de registro de fuente: 2026-10-04.
Fuente: web pública de Lidl. La tienda, zona y disponibilidad pueden cambiar el precio.
URL: https://www.lidl.es/p/livarno-sabana-bajera-180-200-x-200-cm/p100409375</t>
      </text>
    </comment>
    <comment ref="F347" authorId="1" shapeId="0">
      <text>
        <t>Producto consultado: Toalla de baño de rizo, 100 x 150 cm.
Formato: Envase/pieza publicado; ver nota
Precio de origen: 7.99 € por envase/pieza o formato publicado
Valor de la celda: 7.99 €/ud.
ud significa el envase, pack o pieza descrito; no una unidad interna del multipack.
Consultado: 04/10/2026. Fecha de registro de fuente: 2026-10-04.
Fuente: web pública de Lidl. La tienda, zona y disponibilidad pueden cambiar el precio.
URL: https://www.lidl.es/h/toallas/h10085088</t>
      </text>
    </comment>
    <comment ref="F349" authorId="1" shapeId="0">
      <text>
        <t>Producto consultado: Cajas con tapas, 6 x 1,2 l
Formato: 6 x 1,2 l
Precio de origen: 10.99 € por envase/pieza o formato publicado
Valor de la celda: 10.99 €/ud.
ud significa el envase, pack o pieza descrito; no una unidad interna del multipack.
Consultado: 04/10/2026. Fecha de registro de fuente: 2026-10-04.
Fuente: web pública de Lidl. La tienda, zona y disponibilidad pueden cambiar el precio.
URL: https://www.lidl.es/p/w5-cajas-con-tapas-6-x-1-2-l/p100406380</t>
      </text>
    </comment>
    <comment ref="E350" authorId="1" shapeId="0">
      <text>
        <t>Producto consultado: Vaso pequeño Bosque Verde apto para bebida caliente
Formato: 20 ud
Precio de origen: 1.35 € por envase/pieza o formato publicado
Valor de la celda: 1.35 €/ud.
ud significa el envase, pack o pieza descrito; no una unidad interna del multipack.
Consultado: 04/10/2026. Fecha de registro de fuente: 2026-10-03.
Fuente indirecta: Cestio, precio registrado para Mercadona; no confirmado directamente en tienda.
URL: https://cestio.es/mercadona/limpieza-y-hogar</t>
      </text>
    </comment>
    <comment ref="F350" authorId="1" shapeId="0">
      <text>
        <t>Producto consultado: Vasos de agua, 6 unidades.
Formato: Envase/pieza publicado; ver nota
Precio de origen: 6.99 € por envase/pieza o formato publicado
Valor de la celda: 6.99 €/ud.
ud significa el envase, pack o pieza descrito; no una unidad interna del multipack.
Consultado: 04/10/2026. Fecha de registro de fuente: 2026-10-04.
Fuente: web pública de Lidl. La tienda, zona y disponibilidad pueden cambiar el precio.
URL: https://www.lidl.es/h/copas-y-vasos/h10084454</t>
      </text>
    </comment>
    <comment ref="G351" authorId="2" shapeId="0">
      <text>
        <t>Producto consultado: ESSELT Vela aromática vainilla, 1 unidades
Formato: 1 unidades
Precio de origen: 1.79 € por envase/pieza o formato publicado
Valor de la celda: 1.79 €/ud.
ud significa el envase, pack o pieza descrito; no una unidad interna del multipack.
Precio habitual (sin fecha de fin).
Consultado: 04/10/2026. Fecha de registro de fuente: 2026-10-04.
Fuente: web pública de Aldi (lista de precios enviada por Jorge).
URL: https://www.aldi.es/producto/vela-aromatica-vainilla-601159704.html</t>
      </text>
    </comment>
    <comment ref="I351" authorId="1" shapeId="0">
      <text>
        <t>Producto consultado: AROMATIUM Vela Clean Cotton 1 U
Formato: 1 U
Precio de origen: 1.99 € por envase/pieza o formato publicado
Valor de la celda: 1.99 €/ud.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https://tienda.consum.es/es/c/bazar/desechables/velas/1509</t>
      </text>
    </comment>
    <comment ref="F352" authorId="1" shapeId="0">
      <text>
        <t>Producto consultado: Estuche de acuarelas 24 colores
Formato: Envase/pieza publicado; ver nota
Precio de origen: 2.49 € por envase/pieza o formato publicado
Valor de la celda: 2.49 €/ud.
ud significa el envase, pack o pieza descrito; no una unidad interna del multipack.
Consultado: 04/10/2026. Fecha de registro de fuente: 2026-10-04.
Fuente: web pública de Lidl. La tienda, zona y disponibilidad pueden cambiar el precio.
URL: https://www.lidl.es/p/crelando-estuche-de-acuarelas-24-colores/p100407580</t>
      </text>
    </comment>
    <comment ref="H354" authorId="1" shapeId="0">
      <text>
        <t>Producto consultado: Bolígrafos Bic Cristal Original 5 ud - Surtido
Formato: 5 ud
Precio de origen: 2.79 € por envase/pieza o formato publicado
Valor de la celda: 2.79 €/ud.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https://www.carrefour.es/supermercado/drogueria-y-limpieza/papeleria/boligrafos-y-correctores/cat260005/c</t>
      </text>
    </comment>
    <comment ref="F355" authorId="1" shapeId="0">
      <text>
        <t>Producto consultado: Estuche escolar / Carpeta para cuadernos
Formato: Envase/pieza publicado; ver nota
Precio de origen: 2.99 € por envase/pieza o formato publicado
Valor de la celda: 2.99 €/ud.
ud significa el envase, pack o pieza descrito; no una unidad interna del multipack.
Consultado: 04/10/2026. Fecha de registro de fuente: 2026-10-04.
Fuente: web pública de Lidl. La tienda, zona y disponibilidad pueden cambiar el precio.
URL: https://www.lidl.es/p/crelando-estuche-escolar-carpeta-para-cuadernos/p100407373</t>
      </text>
    </comment>
    <comment ref="H355" authorId="1" shapeId="0">
      <text>
        <t>Producto consultado: Carpeta 4 Anilla M40 mm Surtido
Formato: Envase/pieza publicado; ver nota
Precio de origen: 2.59 € por envase/pieza o formato publicado
Valor de la celda: 2.59 €/ud.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https://www.carrefour.es/supermercado/drogueria-y-limpieza/papeleria/cuadernos-y-carpetas/cat260007/c</t>
      </text>
    </comment>
    <comment ref="F357" authorId="1" shapeId="0">
      <text>
        <t>Producto consultado: Papel de dibujo / Papel de cartulina
Formato: Envase/pieza publicado; ver nota
Precio de origen: 1.69 € por envase/pieza o formato publicado
Valor de la celda: 1.69 €/ud.
ud significa el envase, pack o pieza descrito; no una unidad interna del multipack.
Consultado: 04/10/2026. Fecha de registro de fuente: 2026-10-04.
Fuente: web pública de Lidl. La tienda, zona y disponibilidad pueden cambiar el precio.
URL: https://www.lidl.es/h/escuela-y-creatividad/h10067577</t>
      </text>
    </comment>
    <comment ref="H358" authorId="1" shapeId="0">
      <text>
        <t>Producto consultado: Ceras Bic Plastidecor 12 ud
Formato: 12 ud
Precio de origen: 2.79 € por envase/pieza o formato publicado
Valor de la celda: 2.79 €/ud.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https://www.carrefour.es/supermercado/drogueria-y-limpieza/papeleria/cat260001/c</t>
      </text>
    </comment>
    <comment ref="F361" authorId="1" shapeId="0">
      <text>
        <t>Producto consultado: Juego de cuadernos
Formato: Envase/pieza publicado; ver nota
Precio de origen: 3.99 € por envase/pieza o formato publicado
Valor de la celda: 3.99 €/ud.
ud significa el envase, pack o pieza descrito; no una unidad interna del multipack.
Consultado: 04/10/2026. Fecha de registro de fuente: 2026-10-04.
Fuente: web pública de Lidl. La tienda, zona y disponibilidad pueden cambiar el precio.
URL: https://www.lidl.es/p/crelando-juego-de-cuadernos/p100390238</t>
      </text>
    </comment>
    <comment ref="H363" authorId="1" shapeId="0">
      <text>
        <t>Producto consultado: Paquete Folios DIN A4 500 hojas 75 g
Formato: 75 g
Precio de origen: 4.19 € por envase/pieza o formato publicado
Valor de la celda: 4.19 €/ud.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https://www.carrefour.es/supermercado/drogueria-y-limpieza/papeleria/cat260001/c</t>
      </text>
    </comment>
    <comment ref="H365" authorId="1" shapeId="0">
      <text>
        <t>Producto consultado: Gomas de Borrar Milan 4 uds
Formato: Envase/pieza publicado; ver nota
Precio de origen: 1.29 € por envase/pieza o formato publicado
Valor de la celda: 1.29 €/ud.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https://www.carrefour.es/supermercado/drogueria-y-limpieza/papeleria/lapices-y-accesorios/cat260012/c</t>
      </text>
    </comment>
    <comment ref="H368" authorId="1" shapeId="0">
      <text>
        <t>Producto consultado: Lápices de grafito HB 3 ud.
Formato: 3 ud
Precio de origen: 0.79 € por envase/pieza o formato publicado
Valor de la celda: 0.79 €/ud.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https://www.carrefour.es/supermercado/drogueria-y-limpieza/papeleria/lapices-y-accesorios/cat260012/c</t>
      </text>
    </comment>
    <comment ref="F369" authorId="1" shapeId="0">
      <text>
        <t>Producto consultado: Mochila escolar
Formato: Envase/pieza publicado; ver nota
Precio de origen: 14.99 € por envase/pieza o formato publicado
Valor de la celda: 14.99 €/ud.
ud significa el envase, pack o pieza descrito; no una unidad interna del multipack.
Consultado: 04/10/2026. Fecha de registro de fuente: 2026-10-04.
Fuente: web pública de Lidl. La tienda, zona y disponibilidad pueden cambiar el precio.
URL: https://www.lidl.es/h/mochilas-y-estuches-infantiles/h10084959</t>
      </text>
    </comment>
    <comment ref="H370" authorId="1" shapeId="0">
      <text>
        <t>Producto consultado: Pegamento de Barra
Formato: Envase/pieza publicado; ver nota
Precio de origen: 3.39 € por envase/pieza o formato publicado
Valor de la celda: 3.39 €/ud.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https://www.carrefour.es/supermercado/drogueria-y-limpieza/papeleria/cat260001/c</t>
      </text>
    </comment>
    <comment ref="F372" authorId="1" shapeId="0">
      <text>
        <t>Producto consultado: Set de juego de plastilina
Formato: Envase/pieza publicado; ver nota
Precio de origen: 12.99 € por envase/pieza o formato publicado
Valor de la celda: 12.99 €/ud.
ud significa el envase, pack o pieza descrito; no una unidad interna del multipack.
Consultado: 04/10/2026. Fecha de registro de fuente: 2026-10-04.
Fuente: web pública de Lidl. La tienda, zona y disponibilidad pueden cambiar el precio.
URL: https://www.lidl.es/h/juegos-de-manualidades/h10085127</t>
      </text>
    </comment>
    <comment ref="F374" authorId="1" shapeId="0">
      <text>
        <t>Producto consultado: Rotulador doble Twinmarker Fineliner y Brushliner XXL
Formato: Envase/pieza publicado; ver nota
Precio de origen: 6.99 € por envase/pieza o formato publicado
Valor de la celda: 6.99 €/ud.
ud significa el envase, pack o pieza descrito; no una unidad interna del multipack.
Consultado: 04/10/2026. Fecha de registro de fuente: 2026-10-04.
Fuente: web pública de Lidl. La tienda, zona y disponibilidad pueden cambiar el precio.
URL: https://www.lidl.es/h/escuela-y-creatividad/h10067577</t>
      </text>
    </comment>
    <comment ref="H375" authorId="1" shapeId="0">
      <text>
        <t>Producto consultado: Sacapuntas Metal 2 Orificios Carrefour
Formato: Envase/pieza publicado; ver nota
Precio de origen: 1.79 € por envase/pieza o formato publicado
Valor de la celda: 1.79 €/ud.
ud significa el envase, pack o pieza descrito; no una unidad interna del multipack.
Consultado: 04/10/2026. Fecha de registro de fuente: 2026-10-04.
Fuente: web pública de Carrefour. La tienda, zona y disponibilidad pueden cambiar el precio.
URL: https://www.carrefour.es/supermercado/drogueria-y-limpieza/papeleria/lapices-y-accesorios/cat260012/c</t>
      </text>
    </comment>
    <comment ref="I375" authorId="1" shapeId="0">
      <text>
        <t>Producto consultado: PONETTE Sacapuntas 1 U
Formato: 1 U
Precio de origen: 2.55 € por envase/pieza o formato publicado
Valor de la celda: 2.55 €/ud.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https://tienda.consum.es/es/c/cuidado/accesorios-complementos/1399</t>
      </text>
    </comment>
    <comment ref="F377" authorId="1" shapeId="0">
      <text>
        <t>Producto consultado: Juego de tijeras, 3 pzas.
Formato: Envase/pieza publicado; ver nota
Precio de origen: 5.99 € por envase/pieza o formato publicado
Valor de la celda: 5.99 €/ud.
ud significa el envase, pack o pieza descrito; no una unidad interna del multipack.
Consultado: 04/10/2026. Fecha de registro de fuente: 2026-10-04.
Fuente: web pública de Lidl. La tienda, zona y disponibilidad pueden cambiar el precio.
URL: https://www.lidl.es/h/herramientas-de-poda/h10084756</t>
      </text>
    </comment>
    <comment ref="F378" authorId="1" shapeId="0">
      <text>
        <t>Producto consultado: Abrigo ligero para mujer
Formato: Envase/pieza publicado; ver nota
Precio de origen: 14.99 € por envase/pieza o formato publicado
Valor de la celda: 14.99 €/ud.
ud significa el envase, pack o pieza descrito; no una unidad interna del multipack.
Consultado: 04/10/2026. Fecha de registro de fuente: 2026-10-04.
Fuente: web pública de Lidl. La tienda, zona y disponibilidad pueden cambiar el precio.
URL: https://www.lidl.es/h/abrigos-y-chaquetas-para-mujer/h10084885</t>
      </text>
    </comment>
    <comment ref="F379" authorId="1" shapeId="0">
      <text>
        <t>Producto consultado: Bañador para hombre
Formato: Envase/pieza publicado; ver nota
Precio de origen: 4.49 € por envase/pieza o formato publicado
Valor de la celda: 4.49 €/ud.
ud significa el envase, pack o pieza descrito; no una unidad interna del multipack.
Consultado: 04/10/2026. Fecha de registro de fuente: 2026-10-04.
Fuente: web pública de Lidl. La tienda, zona y disponibilidad pueden cambiar el precio.
URL: https://www.lidl.es/p/crivit-banador-para-hombre/p100400965005</t>
      </text>
    </comment>
    <comment ref="I380" authorId="1" shapeId="0">
      <text>
        <t>Producto consultado: BUFALO Crema Calzado Negro Tarro 2 en 1 40 ml
Formato: 40 ml
Precio de origen: 3.59 € por envase/pieza o formato publicado
Valor de la celda: 3.59 €/ud.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https://tienda.consum.es/es/c/drogueria/limpieza-calzado-y-accesorios/5067</t>
      </text>
    </comment>
    <comment ref="F381" authorId="1" shapeId="0">
      <text>
        <t>Producto consultado: Botas infantiles
Formato: Envase/pieza publicado; ver nota
Precio de origen: 11.99 € por envase/pieza o formato publicado
Valor de la celda: 11.99 €/ud.
ud significa el envase, pack o pieza descrito; no una unidad interna del multipack.
Consultado: 04/10/2026. Fecha de registro de fuente: 2026-10-04.
Fuente: web pública de Lidl. La tienda, zona y disponibilidad pueden cambiar el precio.
URL: https://www.lidl.es/h/calzado-infantil/h10084944</t>
      </text>
    </comment>
    <comment ref="F383" authorId="1" shapeId="0">
      <text>
        <t>Producto consultado: Calcetines de hombre, 7 pares.
Formato: 7 pares
Precio de origen: 5.99 € por envase/pieza o formato publicado
Valor de la celda: 5.99 €/ud.
ud significa el envase, pack o pieza descrito; no una unidad interna del multipack.
Consultado: 04/10/2026. Fecha de registro de fuente: 2026-10-04.
Fuente: web pública de Lidl. La tienda, zona y disponibilidad pueden cambiar el precio.
URL: https://www.lidl.es/p/esmara-men-calcetines-de-hombre-7-pares/p100408012</t>
      </text>
    </comment>
    <comment ref="F384" authorId="1" shapeId="0">
      <text>
        <t>Producto consultado: Camiseta de mujer
Formato: Envase/pieza publicado; ver nota
Precio de origen: 3.99 € por envase/pieza o formato publicado
Valor de la celda: 3.99 €/ud.
ud significa el envase, pack o pieza descrito; no una unidad interna del multipack.
Consultado: 04/10/2026. Fecha de registro de fuente: 2026-10-04.
Fuente: web pública de Lidl. La tienda, zona y disponibilidad pueden cambiar el precio.
URL: https://www.lidl.es/p/camiseta-de-mujer/p100401260</t>
      </text>
    </comment>
    <comment ref="F385" authorId="1" shapeId="0">
      <text>
        <t>Producto consultado: Chubasquero para mujer
Formato: Envase/pieza publicado; ver nota
Precio de origen: 18.99 € por envase/pieza o formato publicado
Valor de la celda: 18.99 €/ud.
ud significa el envase, pack o pieza descrito; no una unidad interna del multipack.
Consultado: 04/10/2026. Fecha de registro de fuente: 2026-10-04.
Fuente: web pública de Lidl. La tienda, zona y disponibilidad pueden cambiar el precio.
URL: https://www.lidl.es/p/esmara-chubasquero-para-mujer/p100408259</t>
      </text>
    </comment>
    <comment ref="F386" authorId="1" shapeId="0">
      <text>
        <t>Producto consultado: Chándal de mujer, 2 piezas.
Formato: Envase/pieza publicado; ver nota
Precio de origen: 11.99 € por envase/pieza o formato publicado
Valor de la celda: 11.99 €/ud.
ud significa el envase, pack o pieza descrito; no una unidad interna del multipack.
Consultado: 04/10/2026. Fecha de registro de fuente: 2026-10-04.
Fuente: web pública de Lidl. La tienda, zona y disponibilidad pueden cambiar el precio.
URL: https://www.lidl.es/h/pijamas-y-camisones-para-mujer/h10084886</t>
      </text>
    </comment>
    <comment ref="F388" authorId="1" shapeId="0">
      <text>
        <t>Producto consultado: Gorro de punto para mujer/hombre
Formato: Envase/pieza publicado; ver nota
Precio de origen: 2.49 € por envase/pieza o formato publicado
Valor de la celda: 2.49 €/ud.
ud significa el envase, pack o pieza descrito; no una unidad interna del multipack.
Consultado: 04/10/2026. Fecha de registro de fuente: 2026-10-04.
Fuente: web pública de Lidl. La tienda, zona y disponibilidad pueden cambiar el precio.
URL: https://www.lidl.es/p/gorro-de-punto-para-mujer-hombre/p100396468</t>
      </text>
    </comment>
    <comment ref="F389" authorId="1" shapeId="0">
      <text>
        <t>Producto consultado: Guantes de trabajo para mujer y hombre
Formato: Envase/pieza publicado; ver nota
Precio de origen: 1.89 € por envase/pieza o formato publicado
Valor de la celda: 1.89 €/ud.
ud significa el envase, pack o pieza descrito; no una unidad interna del multipack.
Consultado: 04/10/2026. Fecha de registro de fuente: 2026-10-04.
Fuente: web pública de Lidl. La tienda, zona y disponibilidad pueden cambiar el precio.
URL: https://www.lidl.es/p/parkside-guantes-de-trabajo-para-mujer-y-hombre/p100400292</t>
      </text>
    </comment>
    <comment ref="F390" authorId="1" shapeId="0">
      <text>
        <t>Producto consultado: Pantalones vaqueros de mujer, pernera ancha, tiro alto.
Formato: Envase/pieza publicado; ver nota
Precio de origen: 9.99 € por envase/pieza o formato publicado
Valor de la celda: 9.99 €/ud.
ud significa el envase, pack o pieza descrito; no una unidad interna del multipack.
Consultado: 04/10/2026. Fecha de registro de fuente: 2026-10-04.
Fuente: web pública de Lidl. La tienda, zona y disponibilidad pueden cambiar el precio.
URL: https://www.lidl.es/h/pantalones-para-mujer/h10084883</t>
      </text>
    </comment>
    <comment ref="F391" authorId="1" shapeId="0">
      <text>
        <t>Producto consultado: Pijama para mujer
Formato: Envase/pieza publicado; ver nota
Precio de origen: 7.99 € por envase/pieza o formato publicado
Valor de la celda: 7.99 €/ud.
ud significa el envase, pack o pieza descrito; no una unidad interna del multipack.
Consultado: 04/10/2026. Fecha de registro de fuente: 2026-10-04.
Fuente: web pública de Lidl. La tienda, zona y disponibilidad pueden cambiar el precio.
URL: https://www.lidl.es/h/pijamas-y-camisones-para-mujer/h10084886</t>
      </text>
    </comment>
    <comment ref="F392" authorId="1" shapeId="0">
      <text>
        <t>Producto consultado: Ropa interior para hombre
Formato: Envase/pieza publicado; ver nota
Precio de origen: 7.49 € por envase/pieza o formato publicado
Valor de la celda: 7.49 €/ud.
ud significa el envase, pack o pieza descrito; no una unidad interna del multipack.
Consultado: 04/10/2026. Fecha de registro de fuente: 2026-10-04.
Fuente: web pública de Lidl. La tienda, zona y disponibilidad pueden cambiar el precio.
URL: https://www.lidl.es/h/ropa-interior-para-hombre/h10084895</t>
      </text>
    </comment>
    <comment ref="F393" authorId="1" shapeId="0">
      <text>
        <t>Producto consultado: Sandalias de mujer
Formato: Envase/pieza publicado; ver nota
Precio de origen: 12.99 € por envase/pieza o formato publicado
Valor de la celda: 12.99 €/ud.
ud significa el envase, pack o pieza descrito; no una unidad interna del multipack.
Consultado: 04/10/2026. Fecha de registro de fuente: 2026-10-04.
Fuente: web pública de Lidl. La tienda, zona y disponibilidad pueden cambiar el precio.
URL: https://www.lidl.es/h/escarpines/h10085048</t>
      </text>
    </comment>
    <comment ref="F394" authorId="1" shapeId="0">
      <text>
        <t>Producto consultado: Sudadera de mujer con y sin capucha
Formato: Envase/pieza publicado; ver nota
Precio de origen: 6.99 € por envase/pieza o formato publicado
Valor de la celda: 6.99 €/ud.
ud significa el envase, pack o pieza descrito; no una unidad interna del multipack.
Consultado: 04/10/2026. Fecha de registro de fuente: 2026-10-04.
Fuente: web pública de Lidl. La tienda, zona y disponibilidad pueden cambiar el precio.
URL: https://www.lidl.es/p/esmara-sudadera-de-mujer-con-y-sin-capucha/p100398016</t>
      </text>
    </comment>
    <comment ref="F395" authorId="1" shapeId="0">
      <text>
        <t>Producto consultado: Zapatilla Infantil
Formato: Envase/pieza publicado; ver nota
Precio de origen: 11.99 € por envase/pieza o formato publicado
Valor de la celda: 11.99 €/ud.
ud significa el envase, pack o pieza descrito; no una unidad interna del multipack.
Consultado: 04/10/2026. Fecha de registro de fuente: 2026-10-04.
Fuente: web pública de Lidl. La tienda, zona y disponibilidad pueden cambiar el precio.
URL: https://www.lidl.es/h/calzado-infantil/h10084944</t>
      </text>
    </comment>
    <comment ref="F396" authorId="1" shapeId="0">
      <text>
        <t>Producto consultado: Zapatillas de casa para hombre
Formato: Envase/pieza publicado; ver nota
Precio de origen: 3.99 € por envase/pieza o formato publicado
Valor de la celda: 3.99 €/ud.
ud significa el envase, pack o pieza descrito; no una unidad interna del multipack.
Consultado: 04/10/2026. Fecha de registro de fuente: 2026-10-04.
Fuente: web pública de Lidl. La tienda, zona y disponibilidad pueden cambiar el precio.
URL: https://www.lidl.es/p/esmara-zapatillas-de-casa-para-hombre/p100399221</t>
      </text>
    </comment>
    <comment ref="F397" authorId="1" shapeId="0">
      <text>
        <t>Producto consultado: Zapatos con luces para toddler
Formato: Envase/pieza publicado; ver nota
Precio de origen: 6.99 € por envase/pieza o formato publicado
Valor de la celda: 6.99 €/ud.
ud significa el envase, pack o pieza descrito; no una unidad interna del multipack.
Consultado: 04/10/2026. Fecha de registro de fuente: 2026-10-04.
Fuente: web pública de Lidl. La tienda, zona y disponibilidad pueden cambiar el precio.
URL: https://www.lidl.es/h/calzado-infantil/h10084944</t>
      </text>
    </comment>
    <comment ref="F398" authorId="1" shapeId="0">
      <text>
        <t>Producto consultado: Auriculares in-ear Bluetooth®
Formato: Envase/pieza publicado; ver nota
Precio de origen: 8.99 € por envase/pieza o formato publicado
Valor de la celda: 8.99 €/ud.
ud significa el envase, pack o pieza descrito; no una unidad interna del multipack.
Consultado: 04/10/2026. Fecha de registro de fuente: 2026-10-04.
Fuente: web pública de Lidl. La tienda, zona y disponibilidad pueden cambiar el precio.
URL: https://www.lidl.es/h/auriculares/h10084863</t>
      </text>
    </comment>
    <comment ref="F404" authorId="1" shapeId="0">
      <text>
        <t>Producto consultado: Phone Drive
Formato: Envase/pieza publicado; ver nota
Precio de origen: 24.99 € por envase/pieza o formato publicado
Valor de la celda: 24.99 €/ud.
ud significa el envase, pack o pieza descrito; no una unidad interna del multipack.
Consultado: 04/10/2026. Fecha de registro de fuente: 2026-10-04.
Fuente: web pública de Lidl. La tienda, zona y disponibilidad pueden cambiar el precio.
La página indica agotado online.
URL: https://www.lidl.es/p/sandisk-phone-drive/p100408216</t>
      </text>
    </comment>
    <comment ref="F405" authorId="1" shapeId="0">
      <text>
        <t>Producto consultado: Pilas recargables
Formato: Envase/pieza publicado; ver nota
Precio de origen: 3.99 € por envase/pieza o formato publicado
Valor de la celda: 3.99 €/ud.
ud significa el envase, pack o pieza descrito; no una unidad interna del multipack.
Consultado: 04/10/2026. Fecha de registro de fuente: 2026-10-04.
Fuente: web pública de Lidl. La tienda, zona y disponibilidad pueden cambiar el precio.
URL: https://www.lidl.es/p/tronic-pilas-recargables/p100391422</t>
      </text>
    </comment>
    <comment ref="I405" authorId="1" shapeId="0">
      <text>
        <t>Producto consultado: ENERGIZER Pila Recargable AAA Pack de 4 Unidades 4 x 1 U
Formato: 4 x 1 U
Precio de origen: 7.90 € por envase/pieza o formato publicado
Valor de la celda: 7.90 €/ud.
ud significa el envase, pack o pieza descrito; no una unidad interna del multipack.
Consultado: 04/10/2026. Fecha de registro de fuente: 2026-10-04.
Fuente: web pública de Consum. La tienda, zona y disponibilidad pueden cambiar el precio.
URL: https://tienda.consum.es/es/c/bazar/desechables/electricidad-pilas-y-bombillas/2462</t>
      </text>
    </comment>
    <comment ref="F406" authorId="1" shapeId="0">
      <text>
        <t>Producto consultado: Ratón inalámbrico (negro)
Formato: Envase/pieza publicado; ver nota
Precio de origen: 3.99 € por envase/pieza o formato publicado
Valor de la celda: 3.99 €/ud.
ud significa el envase, pack o pieza descrito; no una unidad interna del multipack.
Consultado: 04/10/2026. Fecha de registro de fuente: 2026-10-04.
Fuente: web pública de Lidl. La tienda, zona y disponibilidad pueden cambiar el precio.
URL: https://www.lidl.es/h/multimedia-y-tecnologia/h10067564</t>
      </text>
    </comment>
    <comment ref="G409" authorId="1" shapeId="0">
      <text>
        <t>Producto consultado: GARDENLINE Flores de otoño
Formato: 1 ud
Precio de origen: 4.49 € por envase/pieza o formato publicado
Valor de la celda: 4.49 €/ud.
ud significa el envase, pack o pieza descrito; no una unidad interna del multipack.
Oferta del 2026-09-30 al 2026-10-04
Consultado: 04/10/2026. Fecha de registro de fuente: 2026-10-04.
Fuente: web pública de Aldi. La tienda, zona y disponibilidad pueden cambiar el precio.
URL: https://www.aldi.es/ofertas.html?cid=APP_aldi_es_stage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1" workbookViewId="0">
      <selection activeCell="A1" sqref="A1"/>
    </sheetView>
  </sheetViews>
  <sheetFormatPr baseColWidth="8" defaultColWidth="8.6796875" defaultRowHeight="15"/>
  <cols>
    <col width="120" customWidth="1" style="17" min="1" max="1"/>
  </cols>
  <sheetData>
    <row r="1" ht="17.35000038146973" customHeight="1" s="17">
      <c r="A1" s="18" t="inlineStr">
        <is>
          <t>Cesta Casa · Tabla de precios</t>
        </is>
      </c>
    </row>
    <row r="2" ht="15" customHeight="1" s="17">
      <c r="A2" s="19" t="n"/>
    </row>
    <row r="3" ht="36" customHeight="1" s="17">
      <c r="A3" s="20" t="inlineStr">
        <is>
          <t>1) Los precios están en las casillas amarillas de la hoja Precios. Completa los huecos únicamente con importes comprobados.</t>
        </is>
      </c>
    </row>
    <row r="4" ht="36" customHeight="1" s="17">
      <c r="A4" s="20" t="inlineStr">
        <is>
          <t>2) Precios en euros. Los huecos son datos no encontrados o no verificables; no significan cero.</t>
        </is>
      </c>
    </row>
    <row r="5" ht="36" customHeight="1" s="17">
      <c r="A5" s="20" t="inlineStr">
        <is>
          <t>3) Precio por: ud = envase, pack o pieza indicados; kg/l = precio por kilogramo/litro. La cantidad de un pack no se divide salvo en kg/l.</t>
        </is>
      </c>
    </row>
    <row r="6" ht="36" customHeight="1" s="17">
      <c r="A6" s="20" t="inlineStr">
        <is>
          <t>4) Formato: M=Mercadona, L=Lidl, A=Aldi, C=Carrefour y Co=Consum. Los productos exactos, precios de origen, URLs y fechas están en la nota de cada precio.</t>
        </is>
      </c>
    </row>
    <row r="7" ht="36" customHeight="1" s="17">
      <c r="A7" s="20" t="inlineStr">
        <is>
          <t>5) Consulta las notas de celda (clic derecho &gt; Mostrar nota) para comprobar marca, formato, oferta y procedencia del dato.</t>
        </is>
      </c>
    </row>
    <row r="8" ht="36" customHeight="1" s="17">
      <c r="A8" s="20" t="inlineStr">
        <is>
          <t>6) Más barato compara solo precios conocidos con unidad común o cantidad de envase coincidente. Solo dato = una cadena; Ver formatos = comparación no fiable. Los empates muestran la primera cadena.</t>
        </is>
      </c>
    </row>
    <row r="9" ht="36" customHeight="1" s="17">
      <c r="A9" s="20" t="inlineStr">
        <is>
          <t>7) La fila 2 es el EJEMPLO de la plantilla: se han retirado sus importes ficticios. Los datos empiezan en la fila 3.</t>
        </is>
      </c>
    </row>
    <row r="10" ht="15" customHeight="1" s="17">
      <c r="A10" s="19" t="inlineStr">
        <is>
          <t>8) Puedes añadir productos nuevos al final de la tabla.</t>
        </is>
      </c>
    </row>
    <row r="11" ht="15" customHeight="1" s="17">
      <c r="A11" s="19" t="n"/>
    </row>
    <row r="12" ht="15" customHeight="1" s="17">
      <c r="A12" s="21" t="inlineStr">
        <is>
          <t>Cuando la tengas, mándamela y la subo a Supabase como precios de tu casa con la fecha de hoy.</t>
        </is>
      </c>
    </row>
    <row r="14" ht="36" customHeight="1" s="17">
      <c r="A14" s="22" t="inlineStr">
        <is>
          <t>Datos consultados el 04/10/2026: 586 precios documentados en 330 de los 410 artículos.</t>
        </is>
      </c>
    </row>
    <row r="15" ht="36" customHeight="1" s="17">
      <c r="A15" s="22" t="inlineStr">
        <is>
          <t>Cobertura: Mercadona 210; Lidl 45; Aldi 17; Carrefour 120; Consum 194.</t>
        </is>
      </c>
    </row>
    <row r="16" ht="36" customHeight="1" s="17">
      <c r="A16" s="22" t="inlineStr">
        <is>
          <t>Mercadona: fuente indirecta Cestio. Se usa el precio registrado con su fecha, no una confirmación del precio actual en tienda.</t>
        </is>
      </c>
    </row>
    <row r="17" ht="36" customHeight="1" s="17">
      <c r="A17" s="22" t="inlineStr">
        <is>
          <t>Carrefour y Consum: precios publicados en sus webs públicas. Lidl: alimentación/bazar y tienda online. Aldi: ofertas con fecha de vigencia.</t>
        </is>
      </c>
    </row>
    <row r="18" ht="36" customHeight="1" s="17">
      <c r="A18" s="22" t="inlineStr">
        <is>
          <t>Se han descartado ofertas caducadas y coincidencias que describían otro artículo. Una marca o variante concreta puede no ser equivalente a otra.</t>
        </is>
      </c>
    </row>
    <row r="19" ht="36" customHeight="1" s="17">
      <c r="A19" s="22" t="inlineStr">
        <is>
          <t>En las filas kg/l, algunos importes se calculan del precio y cantidad publicados; se explica en la nota. Los pesos variables son aproximados.</t>
        </is>
      </c>
    </row>
    <row r="20" ht="36" customHeight="1" s="17">
      <c r="A20" s="22" t="inlineStr">
        <is>
          <t>Precios orientativos según fuente, zona y disponibilidad. Pueden cambiar; las ofertas de Aldi incluidas finalizan el 04/10/2026.</t>
        </is>
      </c>
    </row>
    <row r="22">
      <c r="A22" t="inlineStr">
        <is>
          <t>Hoja «Otros súper»: precios de cualquier otra cadena o tienda (una fila por precio). Columnas: producto (nombre del catálogo), súper, precio, ud/kg/l, formato, producto consultado, desde, hasta, nota y URL.</t>
        </is>
      </c>
    </row>
    <row r="23">
      <c r="A23" t="inlineStr">
        <is>
          <t>Family Cash (05/10/2026): 102 precios del folleto del 7 al 27 de septiembre de 2026, ya caducado; orientativos.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2"/>
  <sheetViews>
    <sheetView showGridLines="1" workbookViewId="0">
      <pane xSplit="4" ySplit="1" topLeftCell="E2" activePane="bottomRight" state="frozen"/>
      <selection activeCell="A1" sqref="A1"/>
    </sheetView>
  </sheetViews>
  <sheetFormatPr baseColWidth="8" defaultColWidth="8.6796875" defaultRowHeight="15"/>
  <cols>
    <col width="30" customWidth="1" style="17" min="1" max="1"/>
    <col width="24" customWidth="1" style="17" min="2" max="2"/>
    <col width="10" customWidth="1" style="17" min="3" max="3"/>
    <col width="34" customWidth="1" style="17" min="4" max="4"/>
    <col width="19" customWidth="1" style="17" min="10" max="10"/>
    <col width="47" customWidth="1" style="17" min="11" max="11"/>
  </cols>
  <sheetData>
    <row r="1" ht="30" customHeight="1" s="17">
      <c r="A1" s="23" t="inlineStr">
        <is>
          <t>Producto</t>
        </is>
      </c>
      <c r="B1" s="23" t="inlineStr">
        <is>
          <t>Categoría</t>
        </is>
      </c>
      <c r="C1" s="23" t="inlineStr">
        <is>
          <t>Precio por</t>
        </is>
      </c>
      <c r="D1" s="23" t="inlineStr">
        <is>
          <t>Formato</t>
        </is>
      </c>
      <c r="E1" s="23" t="inlineStr">
        <is>
          <t>Mercadona</t>
        </is>
      </c>
      <c r="F1" s="23" t="inlineStr">
        <is>
          <t>Lidl</t>
        </is>
      </c>
      <c r="G1" s="23" t="inlineStr">
        <is>
          <t>Aldi</t>
        </is>
      </c>
      <c r="H1" s="23" t="inlineStr">
        <is>
          <t>Carrefour</t>
        </is>
      </c>
      <c r="I1" s="23" t="inlineStr">
        <is>
          <t>Consum</t>
        </is>
      </c>
      <c r="J1" s="23" t="inlineStr">
        <is>
          <t>Más barato</t>
        </is>
      </c>
      <c r="K1" s="23" t="inlineStr">
        <is>
          <t>Marca / notas</t>
        </is>
      </c>
    </row>
    <row r="2" ht="15" customHeight="1" s="17">
      <c r="A2" s="24" t="inlineStr">
        <is>
          <t>EJEMPLO – Huevos</t>
        </is>
      </c>
      <c r="B2" s="24" t="inlineStr">
        <is>
          <t>Lácteos y huevos</t>
        </is>
      </c>
      <c r="C2" s="25" t="inlineStr">
        <is>
          <t>ud</t>
        </is>
      </c>
      <c r="D2" s="26" t="inlineStr">
        <is>
          <t>docena</t>
        </is>
      </c>
      <c r="E2" s="27" t="n"/>
      <c r="F2" s="27" t="n"/>
      <c r="G2" s="27" t="n"/>
      <c r="H2" s="27" t="n"/>
      <c r="I2" s="27" t="n"/>
      <c r="J2" s="28">
        <f>IF(COUNT(E2:I2)=0,"","Solo dato")</f>
        <v/>
      </c>
      <c r="K2" s="26" t="inlineStr">
        <is>
          <t>Fila de ejemplo; sin precios reales.</t>
        </is>
      </c>
    </row>
    <row r="3" ht="38" customHeight="1" s="17">
      <c r="A3" s="29" t="inlineStr">
        <is>
          <t>Aguacate</t>
        </is>
      </c>
      <c r="B3" s="29" t="inlineStr">
        <is>
          <t>Frutas y verduras</t>
        </is>
      </c>
      <c r="C3" s="30" t="inlineStr">
        <is>
          <t>ud</t>
        </is>
      </c>
      <c r="D3" s="31" t="inlineStr">
        <is>
          <t>M: 0.23 kg
Co: Envase/pieza publicado; ver nota</t>
        </is>
      </c>
      <c r="E3" s="32" t="n">
        <v>1.15</v>
      </c>
      <c r="F3" s="32" t="n"/>
      <c r="G3" s="32" t="n"/>
      <c r="H3" s="32" t="n"/>
      <c r="I3" s="32" t="n">
        <v>1</v>
      </c>
      <c r="J3" s="28">
        <f>IF(COUNT(E3:I3)=0,"",IF(COUNT(E3:I3)=1,"Solo dato","Ver formatos"))</f>
        <v/>
      </c>
      <c r="K3" s="31" t="inlineStr">
        <is>
          <t>Fuentes y productos en notas de precios. M: fuente indirecta.</t>
        </is>
      </c>
    </row>
    <row r="4" ht="53" customHeight="1" s="17">
      <c r="A4" s="29" t="inlineStr">
        <is>
          <t>Ajo</t>
        </is>
      </c>
      <c r="B4" s="29" t="inlineStr">
        <is>
          <t>Frutas y verduras</t>
        </is>
      </c>
      <c r="C4" s="30" t="inlineStr">
        <is>
          <t>ud</t>
        </is>
      </c>
      <c r="D4" s="31" t="inlineStr">
        <is>
          <t>M: 0.25 kg
C: 250 g
Co: Envase/pieza publicado; ver nota</t>
        </is>
      </c>
      <c r="E4" s="32" t="n">
        <v>1.85</v>
      </c>
      <c r="F4" s="32" t="n"/>
      <c r="G4" s="32" t="n"/>
      <c r="H4" s="32" t="n">
        <v>1.75</v>
      </c>
      <c r="I4" s="32" t="n">
        <v>1.85</v>
      </c>
      <c r="J4" s="28">
        <f>IF(COUNT(E4:I4)=0,"",IF(COUNT(E4:I4)=1,"Solo dato","Ver formatos"))</f>
        <v/>
      </c>
      <c r="K4" s="31" t="inlineStr">
        <is>
          <t>Fuentes y productos en notas de precios. M: fuente indirecta.</t>
        </is>
      </c>
    </row>
    <row r="5" ht="15" customHeight="1" s="17">
      <c r="A5" s="29" t="inlineStr">
        <is>
          <t>Albahaca</t>
        </is>
      </c>
      <c r="B5" s="29" t="inlineStr">
        <is>
          <t>Frutas y verduras</t>
        </is>
      </c>
      <c r="C5" s="30" t="inlineStr">
        <is>
          <t>ud</t>
        </is>
      </c>
      <c r="D5" s="31" t="n"/>
      <c r="E5" s="32" t="n"/>
      <c r="F5" s="32" t="n"/>
      <c r="G5" s="32" t="n"/>
      <c r="H5" s="32" t="n"/>
      <c r="I5" s="32" t="n"/>
      <c r="J5" s="28">
        <f>IF(COUNT(E5:I5)=0,"",INDEX($E$1:$I$1,MATCH(MIN(E5:I5),E5:I5,0)))</f>
        <v/>
      </c>
      <c r="K5" s="31" t="n"/>
    </row>
    <row r="6" ht="38" customHeight="1" s="17">
      <c r="A6" s="29" t="inlineStr">
        <is>
          <t>Apio</t>
        </is>
      </c>
      <c r="B6" s="29" t="inlineStr">
        <is>
          <t>Frutas y verduras</t>
        </is>
      </c>
      <c r="C6" s="30" t="inlineStr">
        <is>
          <t>ud</t>
        </is>
      </c>
      <c r="D6" s="31" t="inlineStr">
        <is>
          <t>M: 0.66 kg
Co: Envase/pieza publicado; ver nota</t>
        </is>
      </c>
      <c r="E6" s="32" t="n">
        <v>1.45</v>
      </c>
      <c r="F6" s="32" t="n"/>
      <c r="G6" s="32" t="n"/>
      <c r="H6" s="32" t="n"/>
      <c r="I6" s="32" t="n">
        <v>1.45</v>
      </c>
      <c r="J6" s="28">
        <f>IF(COUNT(E6:I6)=0,"",IF(COUNT(E6:I6)=1,"Solo dato","Ver formatos"))</f>
        <v/>
      </c>
      <c r="K6" s="31" t="inlineStr">
        <is>
          <t>Fuentes y productos en notas de precios. M: fuente indirecta.</t>
        </is>
      </c>
    </row>
    <row r="7" ht="38" customHeight="1" s="17">
      <c r="A7" s="29" t="inlineStr">
        <is>
          <t>Arándanos</t>
        </is>
      </c>
      <c r="B7" s="29" t="inlineStr">
        <is>
          <t>Frutas y verduras</t>
        </is>
      </c>
      <c r="C7" s="30" t="inlineStr">
        <is>
          <t>ud</t>
        </is>
      </c>
      <c r="D7" s="31" t="inlineStr">
        <is>
          <t>Co: Envase/pieza publicado; ver nota
A: 300 g</t>
        </is>
      </c>
      <c r="E7" s="32" t="n"/>
      <c r="F7" s="32" t="n"/>
      <c r="G7" s="32" t="n">
        <v>3.69</v>
      </c>
      <c r="H7" s="32" t="n"/>
      <c r="I7" s="32" t="n">
        <v>3.35</v>
      </c>
      <c r="J7" s="28">
        <f>IF(COUNT(E7:I7)=0,"",IF(COUNT(E7:I7)=1,"Solo dato","Ver formatos"))</f>
        <v/>
      </c>
      <c r="K7" s="31" t="inlineStr">
        <is>
          <t>Fuentes y productos en notas de precios. Incluye oferta.</t>
        </is>
      </c>
    </row>
    <row r="8" ht="53" customHeight="1" s="17">
      <c r="A8" s="29" t="inlineStr">
        <is>
          <t>Berenjena</t>
        </is>
      </c>
      <c r="B8" s="29" t="inlineStr">
        <is>
          <t>Frutas y verduras</t>
        </is>
      </c>
      <c r="C8" s="30" t="inlineStr">
        <is>
          <t>ud</t>
        </is>
      </c>
      <c r="D8" s="31" t="inlineStr">
        <is>
          <t>M: 0.41 kg
C: 1 kg
Co: Envase/pieza publicado; ver nota</t>
        </is>
      </c>
      <c r="E8" s="32" t="n">
        <v>0.9</v>
      </c>
      <c r="F8" s="32" t="n"/>
      <c r="G8" s="32" t="n"/>
      <c r="H8" s="32" t="n">
        <v>1.79</v>
      </c>
      <c r="I8" s="32" t="n">
        <v>0.89</v>
      </c>
      <c r="J8" s="28">
        <f>IF(COUNT(E8:I8)=0,"",IF(COUNT(E8:I8)=1,"Solo dato","Ver formatos"))</f>
        <v/>
      </c>
      <c r="K8" s="31" t="inlineStr">
        <is>
          <t>Fuentes y productos en notas de precios. M: fuente indirecta.</t>
        </is>
      </c>
    </row>
    <row r="9" ht="34" customHeight="1" s="17">
      <c r="A9" s="29" t="inlineStr">
        <is>
          <t>Boniato</t>
        </is>
      </c>
      <c r="B9" s="29" t="inlineStr">
        <is>
          <t>Frutas y verduras</t>
        </is>
      </c>
      <c r="C9" s="30" t="inlineStr">
        <is>
          <t>kg</t>
        </is>
      </c>
      <c r="D9" s="31" t="inlineStr">
        <is>
          <t>Envase/pieza publicado; ver nota</t>
        </is>
      </c>
      <c r="E9" s="32" t="n"/>
      <c r="F9" s="32" t="n"/>
      <c r="G9" s="32" t="n"/>
      <c r="H9" s="32" t="n"/>
      <c r="I9" s="32" t="n">
        <v>2.55</v>
      </c>
      <c r="J9" s="28">
        <f>IF(COUNT(E9:I9)=0,"",IF(COUNT(E9:I9)=1,"Solo dato",IF(E9=MIN(E9:I9),E$1,IF(F9=MIN(E9:I9),F$1,IF(G9=MIN(E9:I9),G$1,IF(H9=MIN(E9:I9),H$1,IF(I9=MIN(E9:I9),I$1,"")))))))</f>
        <v/>
      </c>
      <c r="K9" s="31" t="inlineStr">
        <is>
          <t>Fuentes y productos en notas de precios.</t>
        </is>
      </c>
    </row>
    <row r="10" ht="53" customHeight="1" s="17">
      <c r="A10" s="29" t="inlineStr">
        <is>
          <t>Brócoli</t>
        </is>
      </c>
      <c r="B10" s="29" t="inlineStr">
        <is>
          <t>Frutas y verduras</t>
        </is>
      </c>
      <c r="C10" s="30" t="inlineStr">
        <is>
          <t>ud</t>
        </is>
      </c>
      <c r="D10" s="31" t="inlineStr">
        <is>
          <t>M: 0.44 kg
C: 500 g
Co: Envase/pieza publicado; ver nota</t>
        </is>
      </c>
      <c r="E10" s="32" t="n">
        <v>1.19</v>
      </c>
      <c r="F10" s="32" t="n"/>
      <c r="G10" s="32" t="n"/>
      <c r="H10" s="32" t="n">
        <v>1.35</v>
      </c>
      <c r="I10" s="32" t="n">
        <v>1.5</v>
      </c>
      <c r="J10" s="28">
        <f>IF(COUNT(E10:I10)=0,"",IF(COUNT(E10:I10)=1,"Solo dato","Ver formatos"))</f>
        <v/>
      </c>
      <c r="K10" s="31" t="inlineStr">
        <is>
          <t>Fuentes y productos en notas de precios. M: fuente indirecta.</t>
        </is>
      </c>
    </row>
    <row r="11" ht="53" customHeight="1" s="17">
      <c r="A11" s="29" t="inlineStr">
        <is>
          <t>Calabacín</t>
        </is>
      </c>
      <c r="B11" s="29" t="inlineStr">
        <is>
          <t>Frutas y verduras</t>
        </is>
      </c>
      <c r="C11" s="30" t="inlineStr">
        <is>
          <t>ud</t>
        </is>
      </c>
      <c r="D11" s="31" t="inlineStr">
        <is>
          <t>M: 0.41 kg
C: 1,2 kg
Co: Envase/pieza publicado; ver nota</t>
        </is>
      </c>
      <c r="E11" s="32" t="n">
        <v>0.78</v>
      </c>
      <c r="F11" s="32" t="n"/>
      <c r="G11" s="32" t="n"/>
      <c r="H11" s="32" t="n">
        <v>1.55</v>
      </c>
      <c r="I11" s="32" t="n">
        <v>0.91</v>
      </c>
      <c r="J11" s="28">
        <f>IF(COUNT(E11:I11)=0,"",IF(COUNT(E11:I11)=1,"Solo dato","Ver formatos"))</f>
        <v/>
      </c>
      <c r="K11" s="31" t="inlineStr">
        <is>
          <t>Fuentes y productos en notas de precios. M: fuente indirecta.</t>
        </is>
      </c>
    </row>
    <row r="12" ht="38" customHeight="1" s="17">
      <c r="A12" s="29" t="inlineStr">
        <is>
          <t>Calabaza</t>
        </is>
      </c>
      <c r="B12" s="29" t="inlineStr">
        <is>
          <t>Frutas y verduras</t>
        </is>
      </c>
      <c r="C12" s="30" t="inlineStr">
        <is>
          <t>kg</t>
        </is>
      </c>
      <c r="D12" s="31" t="inlineStr">
        <is>
          <t>M: 0.68 kg
Co: Envase/pieza publicado; ver nota</t>
        </is>
      </c>
      <c r="E12" s="32" t="n">
        <v>3</v>
      </c>
      <c r="F12" s="32" t="n"/>
      <c r="G12" s="32" t="n"/>
      <c r="H12" s="32" t="n"/>
      <c r="I12" s="32" t="n">
        <v>1.99</v>
      </c>
      <c r="J12" s="28">
        <f>IF(COUNT(E12:I12)=0,"",IF(COUNT(E12:I12)=1,"Solo dato",IF(E12=MIN(E12:I12),E$1,IF(F12=MIN(E12:I12),F$1,IF(G12=MIN(E12:I12),G$1,IF(H12=MIN(E12:I12),H$1,IF(I12=MIN(E12:I12),I$1,"")))))))</f>
        <v/>
      </c>
      <c r="K12" s="31" t="inlineStr">
        <is>
          <t>Fuentes y productos en notas de precios. M: fuente indirecta.</t>
        </is>
      </c>
    </row>
    <row r="13" ht="38" customHeight="1" s="17">
      <c r="A13" s="29" t="inlineStr">
        <is>
          <t>Canónigos</t>
        </is>
      </c>
      <c r="B13" s="29" t="inlineStr">
        <is>
          <t>Frutas y verduras</t>
        </is>
      </c>
      <c r="C13" s="30" t="inlineStr">
        <is>
          <t>ud</t>
        </is>
      </c>
      <c r="D13" s="31" t="inlineStr">
        <is>
          <t>C: 125 g
Co: 125 Gr</t>
        </is>
      </c>
      <c r="E13" s="32" t="n"/>
      <c r="F13" s="32" t="n"/>
      <c r="G13" s="32" t="n">
        <v>0.99</v>
      </c>
      <c r="H13" s="32" t="n">
        <v>1.21</v>
      </c>
      <c r="I13" s="32" t="n">
        <v>1.2</v>
      </c>
      <c r="J13" s="28">
        <f>IF(COUNT(E13:I13)=0,"",IF(COUNT(E13:I13)=1,"Solo dato",IF(E13=MIN(E13:I13),E$1,IF(F13=MIN(E13:I13),F$1,IF(G13=MIN(E13:I13),G$1,IF(H13=MIN(E13:I13),H$1,IF(I13=MIN(E13:I13),I$1,"")))))))</f>
        <v/>
      </c>
      <c r="K13" s="31" t="inlineStr">
        <is>
          <t>Fuentes y productos en notas de precios.</t>
        </is>
      </c>
    </row>
    <row r="14" ht="53" customHeight="1" s="17">
      <c r="A14" s="29" t="inlineStr">
        <is>
          <t>Cebolla</t>
        </is>
      </c>
      <c r="B14" s="29" t="inlineStr">
        <is>
          <t>Frutas y verduras</t>
        </is>
      </c>
      <c r="C14" s="30" t="inlineStr">
        <is>
          <t>ud</t>
        </is>
      </c>
      <c r="D14" s="31" t="inlineStr">
        <is>
          <t>M: 1 kg
C: 1 kg
Co: Envase/pieza publicado; ver nota</t>
        </is>
      </c>
      <c r="E14" s="32" t="n">
        <v>1.5</v>
      </c>
      <c r="F14" s="32" t="n"/>
      <c r="G14" s="32" t="n"/>
      <c r="H14" s="32" t="n">
        <v>1.59</v>
      </c>
      <c r="I14" s="32" t="n">
        <v>3.6</v>
      </c>
      <c r="J14" s="28">
        <f>IF(COUNT(E14:I14)=0,"",IF(COUNT(E14:I14)=1,"Solo dato","Ver formatos"))</f>
        <v/>
      </c>
      <c r="K14" s="31" t="inlineStr">
        <is>
          <t>Fuentes y productos en notas de precios. M: fuente indirecta.</t>
        </is>
      </c>
    </row>
    <row r="15" ht="38" customHeight="1" s="17">
      <c r="A15" s="29" t="inlineStr">
        <is>
          <t>Cebolla morada</t>
        </is>
      </c>
      <c r="B15" s="29" t="inlineStr">
        <is>
          <t>Frutas y verduras</t>
        </is>
      </c>
      <c r="C15" s="30" t="inlineStr">
        <is>
          <t>ud</t>
        </is>
      </c>
      <c r="D15" s="31" t="inlineStr">
        <is>
          <t>C: 500 g
Co: Envase/pieza publicado; ver nota</t>
        </is>
      </c>
      <c r="E15" s="32" t="n"/>
      <c r="F15" s="32" t="n"/>
      <c r="G15" s="32" t="n"/>
      <c r="H15" s="32" t="n">
        <v>1.39</v>
      </c>
      <c r="I15" s="32" t="n">
        <v>1.4</v>
      </c>
      <c r="J15" s="28">
        <f>IF(COUNT(E15:I15)=0,"",IF(COUNT(E15:I15)=1,"Solo dato","Ver formatos"))</f>
        <v/>
      </c>
      <c r="K15" s="31" t="inlineStr">
        <is>
          <t>Fuentes y productos en notas de precios.</t>
        </is>
      </c>
    </row>
    <row r="16" ht="15" customHeight="1" s="17">
      <c r="A16" s="29" t="inlineStr">
        <is>
          <t>Cerezas</t>
        </is>
      </c>
      <c r="B16" s="29" t="inlineStr">
        <is>
          <t>Frutas y verduras</t>
        </is>
      </c>
      <c r="C16" s="30" t="inlineStr">
        <is>
          <t>ud</t>
        </is>
      </c>
      <c r="D16" s="31" t="n"/>
      <c r="E16" s="32" t="n"/>
      <c r="F16" s="32" t="n"/>
      <c r="G16" s="32" t="n"/>
      <c r="H16" s="32" t="n"/>
      <c r="I16" s="32" t="n"/>
      <c r="J16" s="28">
        <f>IF(COUNT(E16:I16)=0,"",INDEX($E$1:$I$1,MATCH(MIN(E16:I16),E16:I16,0)))</f>
        <v/>
      </c>
      <c r="K16" s="31" t="n"/>
    </row>
    <row r="17" ht="34" customHeight="1" s="17">
      <c r="A17" s="29" t="inlineStr">
        <is>
          <t>Champiñones</t>
        </is>
      </c>
      <c r="B17" s="29" t="inlineStr">
        <is>
          <t>Frutas y verduras</t>
        </is>
      </c>
      <c r="C17" s="30" t="inlineStr">
        <is>
          <t>ud</t>
        </is>
      </c>
      <c r="D17" s="31" t="inlineStr">
        <is>
          <t>0.3 kg</t>
        </is>
      </c>
      <c r="E17" s="32" t="n">
        <v>1.56</v>
      </c>
      <c r="F17" s="32" t="n"/>
      <c r="G17" s="32" t="n"/>
      <c r="H17" s="32" t="n"/>
      <c r="I17" s="32" t="n"/>
      <c r="J17" s="28">
        <f>IF(COUNT(E17:I17)=0,"",IF(COUNT(E17:I17)=1,"Solo dato","Ver formatos"))</f>
        <v/>
      </c>
      <c r="K17" s="31" t="inlineStr">
        <is>
          <t>Fuentes y productos en notas de precios. M: fuente indirecta.</t>
        </is>
      </c>
    </row>
    <row r="18" ht="38" customHeight="1" s="17">
      <c r="A18" s="29" t="inlineStr">
        <is>
          <t>Cilantro</t>
        </is>
      </c>
      <c r="B18" s="29" t="inlineStr">
        <is>
          <t>Frutas y verduras</t>
        </is>
      </c>
      <c r="C18" s="30" t="inlineStr">
        <is>
          <t>ud</t>
        </is>
      </c>
      <c r="D18" s="31" t="inlineStr">
        <is>
          <t>M: 0.02 kg
Co: 20 Gr</t>
        </is>
      </c>
      <c r="E18" s="32" t="n">
        <v>1.25</v>
      </c>
      <c r="F18" s="32" t="n"/>
      <c r="G18" s="32" t="n"/>
      <c r="H18" s="32" t="n"/>
      <c r="I18" s="32" t="n">
        <v>1.25</v>
      </c>
      <c r="J18" s="28">
        <f>IF(COUNT(E18:I18)=0,"",IF(COUNT(E18:I18)=1,"Solo dato",IF(E18=MIN(E18:I18),E$1,IF(F18=MIN(E18:I18),F$1,IF(G18=MIN(E18:I18),G$1,IF(H18=MIN(E18:I18),H$1,IF(I18=MIN(E18:I18),I$1,"")))))))</f>
        <v/>
      </c>
      <c r="K18" s="31" t="inlineStr">
        <is>
          <t>Fuentes y productos en notas de precios. M: fuente indirecta.</t>
        </is>
      </c>
    </row>
    <row r="19" ht="38" customHeight="1" s="17">
      <c r="A19" s="29" t="inlineStr">
        <is>
          <t>Coliflor</t>
        </is>
      </c>
      <c r="B19" s="29" t="inlineStr">
        <is>
          <t>Frutas y verduras</t>
        </is>
      </c>
      <c r="C19" s="30" t="inlineStr">
        <is>
          <t>ud</t>
        </is>
      </c>
      <c r="D19" s="31" t="inlineStr">
        <is>
          <t>M: 1.2 kg
Co: Envase/pieza publicado; ver nota</t>
        </is>
      </c>
      <c r="E19" s="32" t="n">
        <v>3</v>
      </c>
      <c r="F19" s="32" t="n"/>
      <c r="G19" s="32" t="n"/>
      <c r="H19" s="32" t="n"/>
      <c r="I19" s="32" t="n">
        <v>3.68</v>
      </c>
      <c r="J19" s="28">
        <f>IF(COUNT(E19:I19)=0,"",IF(COUNT(E19:I19)=1,"Solo dato","Ver formatos"))</f>
        <v/>
      </c>
      <c r="K19" s="31" t="inlineStr">
        <is>
          <t>Fuentes y productos en notas de precios. M: fuente indirecta.</t>
        </is>
      </c>
    </row>
    <row r="20" ht="38" customHeight="1" s="17">
      <c r="A20" s="29" t="inlineStr">
        <is>
          <t>Ensalada en bolsa</t>
        </is>
      </c>
      <c r="B20" s="29" t="inlineStr">
        <is>
          <t>Frutas y verduras</t>
        </is>
      </c>
      <c r="C20" s="30" t="inlineStr">
        <is>
          <t>ud</t>
        </is>
      </c>
      <c r="D20" s="31" t="inlineStr">
        <is>
          <t>M: 0.25 kg
Co: 250 Gr</t>
        </is>
      </c>
      <c r="E20" s="32" t="n">
        <v>0.85</v>
      </c>
      <c r="F20" s="32" t="n"/>
      <c r="G20" s="32" t="n">
        <v>0.95</v>
      </c>
      <c r="H20" s="32" t="n"/>
      <c r="I20" s="32" t="n">
        <v>0.85</v>
      </c>
      <c r="J20" s="28">
        <f>IF(COUNT(E20:I20)=0,"",IF(COUNT(E20:I20)=1,"Solo dato",IF(E20=MIN(E20:I20),E$1,IF(F20=MIN(E20:I20),F$1,IF(G20=MIN(E20:I20),G$1,IF(H20=MIN(E20:I20),H$1,IF(I20=MIN(E20:I20),I$1,"")))))))</f>
        <v/>
      </c>
      <c r="K20" s="31" t="inlineStr">
        <is>
          <t>Fuentes y productos en notas de precios. M: fuente indirecta.</t>
        </is>
      </c>
    </row>
    <row r="21" ht="53" customHeight="1" s="17">
      <c r="A21" s="29" t="inlineStr">
        <is>
          <t>Espinacas</t>
        </is>
      </c>
      <c r="B21" s="29" t="inlineStr">
        <is>
          <t>Frutas y verduras</t>
        </is>
      </c>
      <c r="C21" s="30" t="inlineStr">
        <is>
          <t>ud</t>
        </is>
      </c>
      <c r="D21" s="31" t="inlineStr">
        <is>
          <t>M: 0.3 kg
C: 300 g
Co: 300 Gr</t>
        </is>
      </c>
      <c r="E21" s="32" t="n">
        <v>1.3</v>
      </c>
      <c r="F21" s="32" t="n"/>
      <c r="G21" s="32" t="n">
        <v>1.49</v>
      </c>
      <c r="H21" s="32" t="n">
        <v>1.25</v>
      </c>
      <c r="I21" s="32" t="n">
        <v>1.3</v>
      </c>
      <c r="J21" s="28">
        <f>IF(COUNT(E21:I21)=0,"",IF(COUNT(E21:I21)=1,"Solo dato",IF(E21=MIN(E21:I21),E$1,IF(F21=MIN(E21:I21),F$1,IF(G21=MIN(E21:I21),G$1,IF(H21=MIN(E21:I21),H$1,IF(I21=MIN(E21:I21),I$1,"")))))))</f>
        <v/>
      </c>
      <c r="K21" s="31" t="inlineStr">
        <is>
          <t>Fuentes y productos en notas de precios. M: fuente indirecta.</t>
        </is>
      </c>
    </row>
    <row r="22" ht="34" customHeight="1" s="17">
      <c r="A22" s="29" t="inlineStr">
        <is>
          <t>Frambuesas</t>
        </is>
      </c>
      <c r="B22" s="29" t="inlineStr">
        <is>
          <t>Frutas y verduras</t>
        </is>
      </c>
      <c r="C22" s="30" t="inlineStr">
        <is>
          <t>ud</t>
        </is>
      </c>
      <c r="D22" s="31" t="inlineStr">
        <is>
          <t>Envase/pieza publicado; ver nota</t>
        </is>
      </c>
      <c r="E22" s="32" t="n"/>
      <c r="F22" s="32" t="n"/>
      <c r="G22" s="32" t="n"/>
      <c r="H22" s="32" t="n"/>
      <c r="I22" s="32" t="n">
        <v>1.99</v>
      </c>
      <c r="J22" s="28">
        <f>IF(COUNT(E22:I22)=0,"",IF(COUNT(E22:I22)=1,"Solo dato","Ver formatos"))</f>
        <v/>
      </c>
      <c r="K22" s="31" t="inlineStr">
        <is>
          <t>Fuentes y productos en notas de precios.</t>
        </is>
      </c>
    </row>
    <row r="23" ht="34" customHeight="1" s="17">
      <c r="A23" s="29" t="inlineStr">
        <is>
          <t>Fresas</t>
        </is>
      </c>
      <c r="B23" s="29" t="inlineStr">
        <is>
          <t>Frutas y verduras</t>
        </is>
      </c>
      <c r="C23" s="30" t="inlineStr">
        <is>
          <t>ud</t>
        </is>
      </c>
      <c r="D23" s="31" t="inlineStr">
        <is>
          <t>0.4 kg</t>
        </is>
      </c>
      <c r="E23" s="32" t="n">
        <v>3</v>
      </c>
      <c r="F23" s="32" t="n"/>
      <c r="G23" s="32" t="n"/>
      <c r="H23" s="32" t="n"/>
      <c r="I23" s="32" t="n"/>
      <c r="J23" s="28">
        <f>IF(COUNT(E23:I23)=0,"",IF(COUNT(E23:I23)=1,"Solo dato","Ver formatos"))</f>
        <v/>
      </c>
      <c r="K23" s="31" t="inlineStr">
        <is>
          <t>Fuentes y productos en notas de precios. M: fuente indirecta.</t>
        </is>
      </c>
    </row>
    <row r="24" ht="15" customHeight="1" s="17">
      <c r="A24" s="29" t="inlineStr">
        <is>
          <t>Guisantes frescos</t>
        </is>
      </c>
      <c r="B24" s="29" t="inlineStr">
        <is>
          <t>Frutas y verduras</t>
        </is>
      </c>
      <c r="C24" s="30" t="inlineStr">
        <is>
          <t>ud</t>
        </is>
      </c>
      <c r="D24" s="31" t="n"/>
      <c r="E24" s="32" t="n"/>
      <c r="F24" s="32" t="n"/>
      <c r="G24" s="32" t="n"/>
      <c r="H24" s="32" t="n"/>
      <c r="I24" s="32" t="n"/>
      <c r="J24" s="28">
        <f>IF(COUNT(E24:I24)=0,"",INDEX($E$1:$I$1,MATCH(MIN(E24:I24),E24:I24,0)))</f>
        <v/>
      </c>
      <c r="K24" s="31" t="n"/>
    </row>
    <row r="25" ht="15" customHeight="1" s="17">
      <c r="A25" s="29" t="inlineStr">
        <is>
          <t>Jengibre</t>
        </is>
      </c>
      <c r="B25" s="29" t="inlineStr">
        <is>
          <t>Frutas y verduras</t>
        </is>
      </c>
      <c r="C25" s="30" t="inlineStr">
        <is>
          <t>ud</t>
        </is>
      </c>
      <c r="D25" s="31" t="n"/>
      <c r="E25" s="32" t="n"/>
      <c r="F25" s="32" t="n"/>
      <c r="G25" s="32" t="n"/>
      <c r="H25" s="32" t="n"/>
      <c r="I25" s="32" t="n"/>
      <c r="J25" s="28">
        <f>IF(COUNT(E25:I25)=0,"",INDEX($E$1:$I$1,MATCH(MIN(E25:I25),E25:I25,0)))</f>
        <v/>
      </c>
      <c r="K25" s="31" t="n"/>
    </row>
    <row r="26" ht="34" customHeight="1" s="17">
      <c r="A26" s="29" t="inlineStr">
        <is>
          <t>Judías verdes</t>
        </is>
      </c>
      <c r="B26" s="29" t="inlineStr">
        <is>
          <t>Frutas y verduras</t>
        </is>
      </c>
      <c r="C26" s="30" t="inlineStr">
        <is>
          <t>ud</t>
        </is>
      </c>
      <c r="D26" s="31" t="inlineStr">
        <is>
          <t>0.35 kg</t>
        </is>
      </c>
      <c r="E26" s="32" t="n">
        <v>2</v>
      </c>
      <c r="F26" s="32" t="n"/>
      <c r="G26" s="32" t="n">
        <v>1.05</v>
      </c>
      <c r="H26" s="32" t="n"/>
      <c r="I26" s="32" t="n"/>
      <c r="J26" s="28">
        <f>IF(COUNT(E26:I26)=0,"",IF(COUNT(E26:I26)=1,"Solo dato","Ver formatos"))</f>
        <v/>
      </c>
      <c r="K26" s="31" t="inlineStr">
        <is>
          <t>Fuentes y productos en notas de precios. M: fuente indirecta.</t>
        </is>
      </c>
    </row>
    <row r="27" ht="38" customHeight="1" s="17">
      <c r="A27" s="29" t="inlineStr">
        <is>
          <t>Kiwi</t>
        </is>
      </c>
      <c r="B27" s="29" t="inlineStr">
        <is>
          <t>Frutas y verduras</t>
        </is>
      </c>
      <c r="C27" s="30" t="inlineStr">
        <is>
          <t>ud</t>
        </is>
      </c>
      <c r="D27" s="31" t="inlineStr">
        <is>
          <t>M: 0.11 kg
Co: Envase/pieza publicado; ver nota</t>
        </is>
      </c>
      <c r="E27" s="32" t="n">
        <v>0.51</v>
      </c>
      <c r="F27" s="32" t="n"/>
      <c r="G27" s="32" t="n"/>
      <c r="H27" s="32" t="n"/>
      <c r="I27" s="32" t="n">
        <v>0.5600000000000001</v>
      </c>
      <c r="J27" s="28">
        <f>IF(COUNT(E27:I27)=0,"",IF(COUNT(E27:I27)=1,"Solo dato","Ver formatos"))</f>
        <v/>
      </c>
      <c r="K27" s="31" t="inlineStr">
        <is>
          <t>Fuentes y productos en notas de precios. M: fuente indirecta.</t>
        </is>
      </c>
    </row>
    <row r="28" ht="53" customHeight="1" s="17">
      <c r="A28" s="29" t="inlineStr">
        <is>
          <t>Lechuga</t>
        </is>
      </c>
      <c r="B28" s="29" t="inlineStr">
        <is>
          <t>Frutas y verduras</t>
        </is>
      </c>
      <c r="C28" s="30" t="inlineStr">
        <is>
          <t>ud</t>
        </is>
      </c>
      <c r="D28" s="31" t="inlineStr">
        <is>
          <t>M: 1 ud
C: 250 g
Co: 325 G</t>
        </is>
      </c>
      <c r="E28" s="32" t="n">
        <v>1.05</v>
      </c>
      <c r="F28" s="32" t="n"/>
      <c r="G28" s="32" t="n"/>
      <c r="H28" s="32" t="n">
        <v>0.89</v>
      </c>
      <c r="I28" s="32" t="n">
        <v>1.1</v>
      </c>
      <c r="J28" s="28">
        <f>IF(COUNT(E28:I28)=0,"",IF(COUNT(E28:I28)=1,"Solo dato","Ver formatos"))</f>
        <v/>
      </c>
      <c r="K28" s="31" t="inlineStr">
        <is>
          <t>Fuentes y productos en notas de precios. M: fuente indirecta.</t>
        </is>
      </c>
    </row>
    <row r="29" ht="38" customHeight="1" s="17">
      <c r="A29" s="29" t="inlineStr">
        <is>
          <t>Lima</t>
        </is>
      </c>
      <c r="B29" s="29" t="inlineStr">
        <is>
          <t>Frutas y verduras</t>
        </is>
      </c>
      <c r="C29" s="30" t="inlineStr">
        <is>
          <t>ud</t>
        </is>
      </c>
      <c r="D29" s="31" t="inlineStr">
        <is>
          <t>M: 0.07 kg
Co: Envase/pieza publicado; ver nota</t>
        </is>
      </c>
      <c r="E29" s="32" t="n">
        <v>0.31</v>
      </c>
      <c r="F29" s="32" t="n"/>
      <c r="G29" s="32" t="n"/>
      <c r="H29" s="32" t="n"/>
      <c r="I29" s="32" t="n">
        <v>1.59</v>
      </c>
      <c r="J29" s="28">
        <f>IF(COUNT(E29:I29)=0,"",IF(COUNT(E29:I29)=1,"Solo dato","Ver formatos"))</f>
        <v/>
      </c>
      <c r="K29" s="31" t="inlineStr">
        <is>
          <t>Fuentes y productos en notas de precios. M: fuente indirecta.</t>
        </is>
      </c>
    </row>
    <row r="30" ht="38" customHeight="1" s="17">
      <c r="A30" s="29" t="inlineStr">
        <is>
          <t>Limón</t>
        </is>
      </c>
      <c r="B30" s="29" t="inlineStr">
        <is>
          <t>Frutas y verduras</t>
        </is>
      </c>
      <c r="C30" s="30" t="inlineStr">
        <is>
          <t>ud</t>
        </is>
      </c>
      <c r="D30" s="31" t="inlineStr">
        <is>
          <t>M: 1 kg
Co: Envase/pieza publicado; ver nota</t>
        </is>
      </c>
      <c r="E30" s="32" t="n">
        <v>2.65</v>
      </c>
      <c r="F30" s="32" t="n"/>
      <c r="G30" s="32" t="n"/>
      <c r="H30" s="32" t="n"/>
      <c r="I30" s="32" t="n">
        <v>2.65</v>
      </c>
      <c r="J30" s="28">
        <f>IF(COUNT(E30:I30)=0,"",IF(COUNT(E30:I30)=1,"Solo dato","Ver formatos"))</f>
        <v/>
      </c>
      <c r="K30" s="31" t="inlineStr">
        <is>
          <t>Fuentes y productos en notas de precios. M: fuente indirecta.</t>
        </is>
      </c>
    </row>
    <row r="31" ht="38" customHeight="1" s="17">
      <c r="A31" s="29" t="inlineStr">
        <is>
          <t>Mandarina</t>
        </is>
      </c>
      <c r="B31" s="29" t="inlineStr">
        <is>
          <t>Frutas y verduras</t>
        </is>
      </c>
      <c r="C31" s="30" t="inlineStr">
        <is>
          <t>kg</t>
        </is>
      </c>
      <c r="D31" s="31" t="inlineStr">
        <is>
          <t>M: 0.12 kg
Co: Envase/pieza publicado; ver nota</t>
        </is>
      </c>
      <c r="E31" s="32" t="n">
        <v>2.67</v>
      </c>
      <c r="F31" s="32" t="n"/>
      <c r="G31" s="32" t="n"/>
      <c r="H31" s="32" t="n"/>
      <c r="I31" s="32" t="n">
        <v>2.65</v>
      </c>
      <c r="J31" s="28">
        <f>IF(COUNT(E31:I31)=0,"",IF(COUNT(E31:I31)=1,"Solo dato",IF(E31=MIN(E31:I31),E$1,IF(F31=MIN(E31:I31),F$1,IF(G31=MIN(E31:I31),G$1,IF(H31=MIN(E31:I31),H$1,IF(I31=MIN(E31:I31),I$1,"")))))))</f>
        <v/>
      </c>
      <c r="K31" s="31" t="inlineStr">
        <is>
          <t>Fuentes y productos en notas de precios. M: fuente indirecta.</t>
        </is>
      </c>
    </row>
    <row r="32" ht="38" customHeight="1" s="17">
      <c r="A32" s="29" t="inlineStr">
        <is>
          <t>Mango</t>
        </is>
      </c>
      <c r="B32" s="29" t="inlineStr">
        <is>
          <t>Frutas y verduras</t>
        </is>
      </c>
      <c r="C32" s="30" t="inlineStr">
        <is>
          <t>ud</t>
        </is>
      </c>
      <c r="D32" s="31" t="inlineStr">
        <is>
          <t>M: 0.41 kg
Co: Envase/pieza publicado; ver nota</t>
        </is>
      </c>
      <c r="E32" s="32" t="n">
        <v>1.11</v>
      </c>
      <c r="F32" s="32" t="n"/>
      <c r="G32" s="32" t="n"/>
      <c r="H32" s="32" t="n"/>
      <c r="I32" s="32" t="n">
        <v>1.5</v>
      </c>
      <c r="J32" s="28">
        <f>IF(COUNT(E32:I32)=0,"",IF(COUNT(E32:I32)=1,"Solo dato","Ver formatos"))</f>
        <v/>
      </c>
      <c r="K32" s="31" t="inlineStr">
        <is>
          <t>Fuentes y productos en notas de precios. M: fuente indirecta.</t>
        </is>
      </c>
    </row>
    <row r="33" ht="53" customHeight="1" s="17">
      <c r="A33" s="29" t="inlineStr">
        <is>
          <t>Manzana</t>
        </is>
      </c>
      <c r="B33" s="29" t="inlineStr">
        <is>
          <t>Frutas y verduras</t>
        </is>
      </c>
      <c r="C33" s="30" t="inlineStr">
        <is>
          <t>kg</t>
        </is>
      </c>
      <c r="D33" s="31" t="inlineStr">
        <is>
          <t>M: 1.55 kg
Co: Envase/pieza publicado; ver nota
A: 1,5 kg</t>
        </is>
      </c>
      <c r="E33" s="32" t="n">
        <v>1.8</v>
      </c>
      <c r="F33" s="32" t="n"/>
      <c r="G33" s="32" t="n">
        <v>1.26</v>
      </c>
      <c r="H33" s="32" t="n"/>
      <c r="I33" s="32" t="n">
        <v>2.4</v>
      </c>
      <c r="J33" s="28">
        <f>IF(COUNT(E33:I33)=0,"",IF(COUNT(E33:I33)=1,"Solo dato",IF(E33=MIN(E33:I33),E$1,IF(F33=MIN(E33:I33),F$1,IF(G33=MIN(E33:I33),G$1,IF(H33=MIN(E33:I33),H$1,IF(I33=MIN(E33:I33),I$1,"")))))))</f>
        <v/>
      </c>
      <c r="K33" s="31" t="inlineStr">
        <is>
          <t>Fuentes y productos en notas de precios. M: fuente indirecta. Incluye oferta.</t>
        </is>
      </c>
    </row>
    <row r="34" ht="15" customHeight="1" s="17">
      <c r="A34" s="29" t="inlineStr">
        <is>
          <t>Maíz dulce</t>
        </is>
      </c>
      <c r="B34" s="29" t="inlineStr">
        <is>
          <t>Frutas y verduras</t>
        </is>
      </c>
      <c r="C34" s="30" t="inlineStr">
        <is>
          <t>ud</t>
        </is>
      </c>
      <c r="D34" s="31" t="n"/>
      <c r="E34" s="32" t="n"/>
      <c r="F34" s="32" t="n"/>
      <c r="G34" s="32" t="n"/>
      <c r="H34" s="32" t="n"/>
      <c r="I34" s="32" t="n"/>
      <c r="J34" s="28">
        <f>IF(COUNT(E34:I34)=0,"",INDEX($E$1:$I$1,MATCH(MIN(E34:I34),E34:I34,0)))</f>
        <v/>
      </c>
      <c r="K34" s="31" t="n"/>
    </row>
    <row r="35" ht="38" customHeight="1" s="17">
      <c r="A35" s="29" t="inlineStr">
        <is>
          <t>Melocotón</t>
        </is>
      </c>
      <c r="B35" s="29" t="inlineStr">
        <is>
          <t>Frutas y verduras</t>
        </is>
      </c>
      <c r="C35" s="30" t="inlineStr">
        <is>
          <t>kg</t>
        </is>
      </c>
      <c r="D35" s="31" t="inlineStr">
        <is>
          <t>M: 0.26 kg
A: 1 kg</t>
        </is>
      </c>
      <c r="E35" s="32" t="n">
        <v>3.31</v>
      </c>
      <c r="F35" s="32" t="n"/>
      <c r="G35" s="32" t="n">
        <v>1.99</v>
      </c>
      <c r="H35" s="32" t="n"/>
      <c r="I35" s="32" t="n"/>
      <c r="J35" s="28">
        <f>IF(COUNT(E35:I35)=0,"",IF(COUNT(E35:I35)=1,"Solo dato",IF(E35=MIN(E35:I35),E$1,IF(F35=MIN(E35:I35),F$1,IF(G35=MIN(E35:I35),G$1,IF(H35=MIN(E35:I35),H$1,IF(I35=MIN(E35:I35),I$1,"")))))))</f>
        <v/>
      </c>
      <c r="K35" s="31" t="inlineStr">
        <is>
          <t>Fuentes y productos en notas de precios. M: fuente indirecta. Incluye oferta.</t>
        </is>
      </c>
    </row>
    <row r="36" ht="34" customHeight="1" s="17">
      <c r="A36" s="29" t="inlineStr">
        <is>
          <t>Melón</t>
        </is>
      </c>
      <c r="B36" s="29" t="inlineStr">
        <is>
          <t>Frutas y verduras</t>
        </is>
      </c>
      <c r="C36" s="30" t="inlineStr">
        <is>
          <t>ud</t>
        </is>
      </c>
      <c r="D36" s="31" t="inlineStr">
        <is>
          <t>Envase/pieza publicado; ver nota</t>
        </is>
      </c>
      <c r="E36" s="32" t="n"/>
      <c r="F36" s="32" t="n"/>
      <c r="G36" s="32" t="n"/>
      <c r="H36" s="32" t="n"/>
      <c r="I36" s="32" t="n">
        <v>4.5</v>
      </c>
      <c r="J36" s="28">
        <f>IF(COUNT(E36:I36)=0,"",IF(COUNT(E36:I36)=1,"Solo dato","Ver formatos"))</f>
        <v/>
      </c>
      <c r="K36" s="31" t="inlineStr">
        <is>
          <t>Fuentes y productos en notas de precios.</t>
        </is>
      </c>
    </row>
    <row r="37" ht="38" customHeight="1" s="17">
      <c r="A37" s="29" t="inlineStr">
        <is>
          <t>Naranja</t>
        </is>
      </c>
      <c r="B37" s="29" t="inlineStr">
        <is>
          <t>Frutas y verduras</t>
        </is>
      </c>
      <c r="C37" s="30" t="inlineStr">
        <is>
          <t>kg</t>
        </is>
      </c>
      <c r="D37" s="31" t="inlineStr">
        <is>
          <t>M: 3 kg
Co: Envase/pieza publicado; ver nota</t>
        </is>
      </c>
      <c r="E37" s="32" t="n">
        <v>1.95</v>
      </c>
      <c r="F37" s="32" t="n"/>
      <c r="G37" s="32" t="n"/>
      <c r="H37" s="32" t="n"/>
      <c r="I37" s="32" t="n">
        <v>2.3</v>
      </c>
      <c r="J37" s="28">
        <f>IF(COUNT(E37:I37)=0,"",IF(COUNT(E37:I37)=1,"Solo dato",IF(E37=MIN(E37:I37),E$1,IF(F37=MIN(E37:I37),F$1,IF(G37=MIN(E37:I37),G$1,IF(H37=MIN(E37:I37),H$1,IF(I37=MIN(E37:I37),I$1,"")))))))</f>
        <v/>
      </c>
      <c r="K37" s="31" t="inlineStr">
        <is>
          <t>Fuentes y productos en notas de precios. M: fuente indirecta.</t>
        </is>
      </c>
    </row>
    <row r="38" ht="53" customHeight="1" s="17">
      <c r="A38" s="29" t="inlineStr">
        <is>
          <t>Patata</t>
        </is>
      </c>
      <c r="B38" s="29" t="inlineStr">
        <is>
          <t>Frutas y verduras</t>
        </is>
      </c>
      <c r="C38" s="30" t="inlineStr">
        <is>
          <t>kg</t>
        </is>
      </c>
      <c r="D38" s="31" t="inlineStr">
        <is>
          <t>M: 3 kg
C: 1 kg
A: 5 kg</t>
        </is>
      </c>
      <c r="E38" s="32" t="n">
        <v>1.55</v>
      </c>
      <c r="F38" s="32" t="n"/>
      <c r="G38" s="32" t="n">
        <v>0.75</v>
      </c>
      <c r="H38" s="32" t="n">
        <v>1.85</v>
      </c>
      <c r="I38" s="32" t="n"/>
      <c r="J38" s="28">
        <f>IF(COUNT(E38:I38)=0,"",IF(COUNT(E38:I38)=1,"Solo dato",IF(E38=MIN(E38:I38),E$1,IF(F38=MIN(E38:I38),F$1,IF(G38=MIN(E38:I38),G$1,IF(H38=MIN(E38:I38),H$1,IF(I38=MIN(E38:I38),I$1,"")))))))</f>
        <v/>
      </c>
      <c r="K38" s="31" t="inlineStr">
        <is>
          <t>Fuentes y productos en notas de precios. M: fuente indirecta. Incluye oferta.</t>
        </is>
      </c>
    </row>
    <row r="39" ht="53" customHeight="1" s="17">
      <c r="A39" s="29" t="inlineStr">
        <is>
          <t>Pepino</t>
        </is>
      </c>
      <c r="B39" s="29" t="inlineStr">
        <is>
          <t>Frutas y verduras</t>
        </is>
      </c>
      <c r="C39" s="30" t="inlineStr">
        <is>
          <t>ud</t>
        </is>
      </c>
      <c r="D39" s="31" t="inlineStr">
        <is>
          <t>M: 0.21 kg
Co: Envase/pieza publicado; ver nota
A: 400 g</t>
        </is>
      </c>
      <c r="E39" s="32" t="n">
        <v>0.36</v>
      </c>
      <c r="F39" s="32" t="n"/>
      <c r="G39" s="32" t="n">
        <v>0.75</v>
      </c>
      <c r="H39" s="32" t="n"/>
      <c r="I39" s="32" t="n">
        <v>0.36</v>
      </c>
      <c r="J39" s="28">
        <f>IF(COUNT(E39:I39)=0,"",IF(COUNT(E39:I39)=1,"Solo dato","Ver formatos"))</f>
        <v/>
      </c>
      <c r="K39" s="31" t="inlineStr">
        <is>
          <t>Fuentes y productos en notas de precios. M: fuente indirecta. Incluye oferta.</t>
        </is>
      </c>
    </row>
    <row r="40" ht="34" customHeight="1" s="17">
      <c r="A40" s="29" t="inlineStr">
        <is>
          <t>Pera</t>
        </is>
      </c>
      <c r="B40" s="29" t="inlineStr">
        <is>
          <t>Frutas y verduras</t>
        </is>
      </c>
      <c r="C40" s="30" t="inlineStr">
        <is>
          <t>kg</t>
        </is>
      </c>
      <c r="D40" s="31" t="inlineStr">
        <is>
          <t>Envase/pieza publicado; ver nota</t>
        </is>
      </c>
      <c r="E40" s="32" t="n"/>
      <c r="F40" s="32" t="n"/>
      <c r="G40" s="32" t="n"/>
      <c r="H40" s="32" t="n"/>
      <c r="I40" s="32" t="n">
        <v>2.75</v>
      </c>
      <c r="J40" s="28">
        <f>IF(COUNT(E40:I40)=0,"",IF(COUNT(E40:I40)=1,"Solo dato",IF(E40=MIN(E40:I40),E$1,IF(F40=MIN(E40:I40),F$1,IF(G40=MIN(E40:I40),G$1,IF(H40=MIN(E40:I40),H$1,IF(I40=MIN(E40:I40),I$1,"")))))))</f>
        <v/>
      </c>
      <c r="K40" s="31" t="inlineStr">
        <is>
          <t>Fuentes y productos en notas de precios.</t>
        </is>
      </c>
    </row>
    <row r="41" ht="38" customHeight="1" s="17">
      <c r="A41" s="29" t="inlineStr">
        <is>
          <t>Perejil</t>
        </is>
      </c>
      <c r="B41" s="29" t="inlineStr">
        <is>
          <t>Frutas y verduras</t>
        </is>
      </c>
      <c r="C41" s="30" t="inlineStr">
        <is>
          <t>ud</t>
        </is>
      </c>
      <c r="D41" s="31" t="inlineStr">
        <is>
          <t>M: 0.04 kg
Co: Envase/pieza publicado; ver nota</t>
        </is>
      </c>
      <c r="E41" s="32" t="n">
        <v>0.95</v>
      </c>
      <c r="F41" s="32" t="n"/>
      <c r="G41" s="32" t="n"/>
      <c r="H41" s="32" t="n"/>
      <c r="I41" s="32" t="n">
        <v>1.15</v>
      </c>
      <c r="J41" s="28">
        <f>IF(COUNT(E41:I41)=0,"",IF(COUNT(E41:I41)=1,"Solo dato","Ver formatos"))</f>
        <v/>
      </c>
      <c r="K41" s="31" t="inlineStr">
        <is>
          <t>Fuentes y productos en notas de precios. M: fuente indirecta.</t>
        </is>
      </c>
    </row>
    <row r="42" ht="53" customHeight="1" s="17">
      <c r="A42" s="29" t="inlineStr">
        <is>
          <t>Pimiento rojo</t>
        </is>
      </c>
      <c r="B42" s="29" t="inlineStr">
        <is>
          <t>Frutas y verduras</t>
        </is>
      </c>
      <c r="C42" s="30" t="inlineStr">
        <is>
          <t>ud</t>
        </is>
      </c>
      <c r="D42" s="31" t="inlineStr">
        <is>
          <t>M: 0.29 kg
C: 1 Kg
Co: Envase/pieza publicado; ver nota</t>
        </is>
      </c>
      <c r="E42" s="32" t="n">
        <v>0.84</v>
      </c>
      <c r="F42" s="32" t="n"/>
      <c r="G42" s="32" t="n"/>
      <c r="H42" s="32" t="n">
        <v>2.29</v>
      </c>
      <c r="I42" s="32" t="n">
        <v>0.96</v>
      </c>
      <c r="J42" s="28">
        <f>IF(COUNT(E42:I42)=0,"",IF(COUNT(E42:I42)=1,"Solo dato","Ver formatos"))</f>
        <v/>
      </c>
      <c r="K42" s="31" t="inlineStr">
        <is>
          <t>Fuentes y productos en notas de precios. M: fuente indirecta.</t>
        </is>
      </c>
    </row>
    <row r="43" ht="53" customHeight="1" s="17">
      <c r="A43" s="29" t="inlineStr">
        <is>
          <t>Pimiento verde</t>
        </is>
      </c>
      <c r="B43" s="29" t="inlineStr">
        <is>
          <t>Frutas y verduras</t>
        </is>
      </c>
      <c r="C43" s="30" t="inlineStr">
        <is>
          <t>ud</t>
        </is>
      </c>
      <c r="D43" s="31" t="inlineStr">
        <is>
          <t>M: 0.09 kg
C: 1 kg
Co: Envase/pieza publicado; ver nota</t>
        </is>
      </c>
      <c r="E43" s="32" t="n">
        <v>0.23</v>
      </c>
      <c r="F43" s="32" t="n"/>
      <c r="G43" s="32" t="n"/>
      <c r="H43" s="32" t="n">
        <v>2.45</v>
      </c>
      <c r="I43" s="32" t="n">
        <v>0.75</v>
      </c>
      <c r="J43" s="28">
        <f>IF(COUNT(E43:I43)=0,"",IF(COUNT(E43:I43)=1,"Solo dato","Ver formatos"))</f>
        <v/>
      </c>
      <c r="K43" s="31" t="inlineStr">
        <is>
          <t>Fuentes y productos en notas de precios. M: fuente indirecta.</t>
        </is>
      </c>
    </row>
    <row r="44" ht="34" customHeight="1" s="17">
      <c r="A44" s="29" t="inlineStr">
        <is>
          <t>Piña</t>
        </is>
      </c>
      <c r="B44" s="29" t="inlineStr">
        <is>
          <t>Frutas y verduras</t>
        </is>
      </c>
      <c r="C44" s="30" t="inlineStr">
        <is>
          <t>ud</t>
        </is>
      </c>
      <c r="D44" s="31" t="inlineStr">
        <is>
          <t>2.08 kg</t>
        </is>
      </c>
      <c r="E44" s="32" t="n">
        <v>4.16</v>
      </c>
      <c r="F44" s="32" t="n"/>
      <c r="G44" s="32" t="n"/>
      <c r="H44" s="32" t="n"/>
      <c r="I44" s="32" t="n"/>
      <c r="J44" s="28">
        <f>IF(COUNT(E44:I44)=0,"",IF(COUNT(E44:I44)=1,"Solo dato","Ver formatos"))</f>
        <v/>
      </c>
      <c r="K44" s="31" t="inlineStr">
        <is>
          <t>Fuentes y productos en notas de precios. M: fuente indirecta.</t>
        </is>
      </c>
    </row>
    <row r="45" ht="38" customHeight="1" s="17">
      <c r="A45" s="29" t="inlineStr">
        <is>
          <t>Plátano</t>
        </is>
      </c>
      <c r="B45" s="29" t="inlineStr">
        <is>
          <t>Frutas y verduras</t>
        </is>
      </c>
      <c r="C45" s="30" t="inlineStr">
        <is>
          <t>kg</t>
        </is>
      </c>
      <c r="D45" s="31" t="inlineStr">
        <is>
          <t>M: 0.17 kg
Co: Envase/pieza publicado; ver nota</t>
        </is>
      </c>
      <c r="E45" s="32" t="n">
        <v>2.53</v>
      </c>
      <c r="F45" s="32" t="n"/>
      <c r="G45" s="32" t="n"/>
      <c r="H45" s="32" t="n"/>
      <c r="I45" s="32" t="n">
        <v>2.3</v>
      </c>
      <c r="J45" s="28">
        <f>IF(COUNT(E45:I45)=0,"",IF(COUNT(E45:I45)=1,"Solo dato",IF(E45=MIN(E45:I45),E$1,IF(F45=MIN(E45:I45),F$1,IF(G45=MIN(E45:I45),G$1,IF(H45=MIN(E45:I45),H$1,IF(I45=MIN(E45:I45),I$1,"")))))))</f>
        <v/>
      </c>
      <c r="K45" s="31" t="inlineStr">
        <is>
          <t>Fuentes y productos en notas de precios. M: fuente indirecta.</t>
        </is>
      </c>
    </row>
    <row r="46" ht="38" customHeight="1" s="17">
      <c r="A46" s="29" t="inlineStr">
        <is>
          <t>Puerro</t>
        </is>
      </c>
      <c r="B46" s="29" t="inlineStr">
        <is>
          <t>Frutas y verduras</t>
        </is>
      </c>
      <c r="C46" s="30" t="inlineStr">
        <is>
          <t>ud</t>
        </is>
      </c>
      <c r="D46" s="31" t="inlineStr">
        <is>
          <t>M: 0.45 kg
Co: Envase/pieza publicado; ver nota</t>
        </is>
      </c>
      <c r="E46" s="32" t="n">
        <v>2.16</v>
      </c>
      <c r="F46" s="32" t="n"/>
      <c r="G46" s="32" t="n"/>
      <c r="H46" s="32" t="n"/>
      <c r="I46" s="32" t="n">
        <v>0.36</v>
      </c>
      <c r="J46" s="28">
        <f>IF(COUNT(E46:I46)=0,"",IF(COUNT(E46:I46)=1,"Solo dato","Ver formatos"))</f>
        <v/>
      </c>
      <c r="K46" s="31" t="inlineStr">
        <is>
          <t>Fuentes y productos en notas de precios. M: fuente indirecta.</t>
        </is>
      </c>
    </row>
    <row r="47" ht="38" customHeight="1" s="17">
      <c r="A47" s="29" t="inlineStr">
        <is>
          <t>Rúcula</t>
        </is>
      </c>
      <c r="B47" s="29" t="inlineStr">
        <is>
          <t>Frutas y verduras</t>
        </is>
      </c>
      <c r="C47" s="30" t="inlineStr">
        <is>
          <t>ud</t>
        </is>
      </c>
      <c r="D47" s="31" t="inlineStr">
        <is>
          <t>C: 50 g
Co: 50 Gr</t>
        </is>
      </c>
      <c r="E47" s="32" t="n"/>
      <c r="F47" s="32" t="n"/>
      <c r="G47" s="32" t="n"/>
      <c r="H47" s="32" t="n">
        <v>0.79</v>
      </c>
      <c r="I47" s="32" t="n">
        <v>0.85</v>
      </c>
      <c r="J47" s="28">
        <f>IF(COUNT(E47:I47)=0,"",IF(COUNT(E47:I47)=1,"Solo dato",IF(E47=MIN(E47:I47),E$1,IF(F47=MIN(E47:I47),F$1,IF(G47=MIN(E47:I47),G$1,IF(H47=MIN(E47:I47),H$1,IF(I47=MIN(E47:I47),I$1,"")))))))</f>
        <v/>
      </c>
      <c r="K47" s="31" t="inlineStr">
        <is>
          <t>Fuentes y productos en notas de precios.</t>
        </is>
      </c>
    </row>
    <row r="48" ht="15" customHeight="1" s="17">
      <c r="A48" s="29" t="inlineStr">
        <is>
          <t>Sandía</t>
        </is>
      </c>
      <c r="B48" s="29" t="inlineStr">
        <is>
          <t>Frutas y verduras</t>
        </is>
      </c>
      <c r="C48" s="30" t="inlineStr">
        <is>
          <t>ud</t>
        </is>
      </c>
      <c r="D48" s="31" t="n"/>
      <c r="E48" s="32" t="n"/>
      <c r="F48" s="32" t="n"/>
      <c r="G48" s="32" t="n"/>
      <c r="H48" s="32" t="n"/>
      <c r="I48" s="32" t="n"/>
      <c r="J48" s="28">
        <f>IF(COUNT(E48:I48)=0,"",INDEX($E$1:$I$1,MATCH(MIN(E48:I48),E48:I48,0)))</f>
        <v/>
      </c>
      <c r="K48" s="31" t="n"/>
    </row>
    <row r="49" ht="53" customHeight="1" s="17">
      <c r="A49" s="29" t="inlineStr">
        <is>
          <t>Tomate</t>
        </is>
      </c>
      <c r="B49" s="29" t="inlineStr">
        <is>
          <t>Frutas y verduras</t>
        </is>
      </c>
      <c r="C49" s="30" t="inlineStr">
        <is>
          <t>kg</t>
        </is>
      </c>
      <c r="D49" s="31" t="inlineStr">
        <is>
          <t>M: 1.12 kg
C: 1 kg
Co: Envase/pieza publicado; ver nota</t>
        </is>
      </c>
      <c r="E49" s="32" t="n">
        <v>2.3</v>
      </c>
      <c r="F49" s="32" t="n"/>
      <c r="G49" s="32" t="n"/>
      <c r="H49" s="32" t="n">
        <v>2.39</v>
      </c>
      <c r="I49" s="32" t="n">
        <v>2.55</v>
      </c>
      <c r="J49" s="28">
        <f>IF(COUNT(E49:I49)=0,"",IF(COUNT(E49:I49)=1,"Solo dato",IF(E49=MIN(E49:I49),E$1,IF(F49=MIN(E49:I49),F$1,IF(G49=MIN(E49:I49),G$1,IF(H49=MIN(E49:I49),H$1,IF(I49=MIN(E49:I49),I$1,"")))))))</f>
        <v/>
      </c>
      <c r="K49" s="31" t="inlineStr">
        <is>
          <t>Fuentes y productos en notas de precios. M: fuente indirecta.</t>
        </is>
      </c>
    </row>
    <row r="50" ht="34" customHeight="1" s="17">
      <c r="A50" s="29" t="inlineStr">
        <is>
          <t>Tomate cherry</t>
        </is>
      </c>
      <c r="B50" s="29" t="inlineStr">
        <is>
          <t>Frutas y verduras</t>
        </is>
      </c>
      <c r="C50" s="30" t="inlineStr">
        <is>
          <t>ud</t>
        </is>
      </c>
      <c r="D50" s="31" t="inlineStr">
        <is>
          <t>0.5 kg</t>
        </is>
      </c>
      <c r="E50" s="32" t="n">
        <v>2.2</v>
      </c>
      <c r="F50" s="32" t="n"/>
      <c r="G50" s="32" t="n"/>
      <c r="H50" s="32" t="n"/>
      <c r="I50" s="32" t="n"/>
      <c r="J50" s="28">
        <f>IF(COUNT(E50:I50)=0,"",IF(COUNT(E50:I50)=1,"Solo dato","Ver formatos"))</f>
        <v/>
      </c>
      <c r="K50" s="31" t="inlineStr">
        <is>
          <t>Fuentes y productos en notas de precios. M: fuente indirecta.</t>
        </is>
      </c>
    </row>
    <row r="51" ht="38" customHeight="1" s="17">
      <c r="A51" s="29" t="inlineStr">
        <is>
          <t>Uvas</t>
        </is>
      </c>
      <c r="B51" s="29" t="inlineStr">
        <is>
          <t>Frutas y verduras</t>
        </is>
      </c>
      <c r="C51" s="30" t="inlineStr">
        <is>
          <t>kg</t>
        </is>
      </c>
      <c r="D51" s="31" t="inlineStr">
        <is>
          <t>M: 0.6 kg
A: 1 kg</t>
        </is>
      </c>
      <c r="E51" s="32" t="n">
        <v>3.75</v>
      </c>
      <c r="F51" s="32" t="n"/>
      <c r="G51" s="32" t="n">
        <v>1.99</v>
      </c>
      <c r="H51" s="32" t="n"/>
      <c r="I51" s="32" t="n"/>
      <c r="J51" s="28">
        <f>IF(COUNT(E51:I51)=0,"",IF(COUNT(E51:I51)=1,"Solo dato",IF(E51=MIN(E51:I51),E$1,IF(F51=MIN(E51:I51),F$1,IF(G51=MIN(E51:I51),G$1,IF(H51=MIN(E51:I51),H$1,IF(I51=MIN(E51:I51),I$1,"")))))))</f>
        <v/>
      </c>
      <c r="K51" s="31" t="inlineStr">
        <is>
          <t>Fuentes y productos en notas de precios. M: fuente indirecta. Incluye oferta.</t>
        </is>
      </c>
    </row>
    <row r="52" ht="53" customHeight="1" s="17">
      <c r="A52" s="29" t="inlineStr">
        <is>
          <t>Zanahoria</t>
        </is>
      </c>
      <c r="B52" s="29" t="inlineStr">
        <is>
          <t>Frutas y verduras</t>
        </is>
      </c>
      <c r="C52" s="30" t="inlineStr">
        <is>
          <t>kg</t>
        </is>
      </c>
      <c r="D52" s="31" t="inlineStr">
        <is>
          <t>M: 1 kg
C: 500 g
Co: Envase/pieza publicado; ver nota</t>
        </is>
      </c>
      <c r="E52" s="32" t="n">
        <v>1</v>
      </c>
      <c r="F52" s="32" t="n"/>
      <c r="G52" s="32" t="n"/>
      <c r="H52" s="32" t="n">
        <v>1.5</v>
      </c>
      <c r="I52" s="32" t="n">
        <v>1.6</v>
      </c>
      <c r="J52" s="28">
        <f>IF(COUNT(E52:I52)=0,"",IF(COUNT(E52:I52)=1,"Solo dato",IF(E52=MIN(E52:I52),E$1,IF(F52=MIN(E52:I52),F$1,IF(G52=MIN(E52:I52),G$1,IF(H52=MIN(E52:I52),H$1,IF(I52=MIN(E52:I52),I$1,"")))))))</f>
        <v/>
      </c>
      <c r="K52" s="31" t="inlineStr">
        <is>
          <t>Fuentes y productos en notas de precios. M: fuente indirecta.</t>
        </is>
      </c>
    </row>
    <row r="53" ht="53" customHeight="1" s="17">
      <c r="A53" s="29" t="inlineStr">
        <is>
          <t>Alitas de pollo</t>
        </is>
      </c>
      <c r="B53" s="29" t="inlineStr">
        <is>
          <t>Carnes y pescados</t>
        </is>
      </c>
      <c r="C53" s="30" t="inlineStr">
        <is>
          <t>ud</t>
        </is>
      </c>
      <c r="D53" s="31" t="inlineStr">
        <is>
          <t>M: 0.98 kg
Co: Envase/pieza publicado; ver nota
A: 600 g</t>
        </is>
      </c>
      <c r="E53" s="32" t="n">
        <v>4.36</v>
      </c>
      <c r="F53" s="32" t="n"/>
      <c r="G53" s="32" t="n">
        <v>2.25</v>
      </c>
      <c r="H53" s="32" t="n"/>
      <c r="I53" s="32" t="n">
        <v>3.38</v>
      </c>
      <c r="J53" s="28">
        <f>IF(COUNT(E53:I53)=0,"",IF(COUNT(E53:I53)=1,"Solo dato","Ver formatos"))</f>
        <v/>
      </c>
      <c r="K53" s="31" t="inlineStr">
        <is>
          <t>Fuentes y productos en notas de precios. M: fuente indirecta. Incluye oferta.</t>
        </is>
      </c>
    </row>
    <row r="54" ht="15" customHeight="1" s="17">
      <c r="A54" s="29" t="inlineStr">
        <is>
          <t>Almejas</t>
        </is>
      </c>
      <c r="B54" s="29" t="inlineStr">
        <is>
          <t>Carnes y pescados</t>
        </is>
      </c>
      <c r="C54" s="30" t="inlineStr">
        <is>
          <t>ud</t>
        </is>
      </c>
      <c r="D54" s="31" t="n"/>
      <c r="E54" s="32" t="n"/>
      <c r="F54" s="32" t="n"/>
      <c r="G54" s="32" t="n">
        <v>1.99</v>
      </c>
      <c r="H54" s="32" t="n"/>
      <c r="I54" s="32" t="n"/>
      <c r="J54" s="28">
        <f>IF(COUNT(E54:I54)=0,"",INDEX($E$1:$I$1,MATCH(MIN(E54:I54),E54:I54,0)))</f>
        <v/>
      </c>
      <c r="K54" s="31" t="n"/>
    </row>
    <row r="55" ht="15" customHeight="1" s="17">
      <c r="A55" s="29" t="inlineStr">
        <is>
          <t>Atún fresco</t>
        </is>
      </c>
      <c r="B55" s="29" t="inlineStr">
        <is>
          <t>Carnes y pescados</t>
        </is>
      </c>
      <c r="C55" s="30" t="inlineStr">
        <is>
          <t>ud</t>
        </is>
      </c>
      <c r="D55" s="31" t="n"/>
      <c r="E55" s="32" t="n"/>
      <c r="F55" s="32" t="n"/>
      <c r="G55" s="32" t="n">
        <v>5.99</v>
      </c>
      <c r="H55" s="32" t="n"/>
      <c r="I55" s="32" t="n"/>
      <c r="J55" s="28">
        <f>IF(COUNT(E55:I55)=0,"",INDEX($E$1:$I$1,MATCH(MIN(E55:I55),E55:I55,0)))</f>
        <v/>
      </c>
      <c r="K55" s="31" t="n"/>
    </row>
    <row r="56" ht="38" customHeight="1" s="17">
      <c r="A56" s="29" t="inlineStr">
        <is>
          <t>Bacalao</t>
        </is>
      </c>
      <c r="B56" s="29" t="inlineStr">
        <is>
          <t>Carnes y pescados</t>
        </is>
      </c>
      <c r="C56" s="30" t="inlineStr">
        <is>
          <t>ud</t>
        </is>
      </c>
      <c r="D56" s="31" t="inlineStr">
        <is>
          <t>M: 0.45 kg
Co: Envase/pieza publicado; ver nota</t>
        </is>
      </c>
      <c r="E56" s="32" t="n">
        <v>9.5</v>
      </c>
      <c r="F56" s="32" t="n"/>
      <c r="G56" s="32" t="n">
        <v>7.65</v>
      </c>
      <c r="H56" s="32" t="n"/>
      <c r="I56" s="32" t="n">
        <v>9.26</v>
      </c>
      <c r="J56" s="28">
        <f>IF(COUNT(E56:I56)=0,"",IF(COUNT(E56:I56)=1,"Solo dato","Ver formatos"))</f>
        <v/>
      </c>
      <c r="K56" s="31" t="inlineStr">
        <is>
          <t>Fuentes y productos en notas de precios. M: fuente indirecta.</t>
        </is>
      </c>
    </row>
    <row r="57" ht="34" customHeight="1" s="17">
      <c r="A57" s="29" t="inlineStr">
        <is>
          <t>Boquerones</t>
        </is>
      </c>
      <c r="B57" s="29" t="inlineStr">
        <is>
          <t>Carnes y pescados</t>
        </is>
      </c>
      <c r="C57" s="30" t="inlineStr">
        <is>
          <t>ud</t>
        </is>
      </c>
      <c r="D57" s="31" t="inlineStr">
        <is>
          <t>1 kg</t>
        </is>
      </c>
      <c r="E57" s="32" t="n"/>
      <c r="F57" s="32" t="n"/>
      <c r="G57" s="32" t="n"/>
      <c r="H57" s="32" t="n">
        <v>4.95</v>
      </c>
      <c r="I57" s="32" t="n"/>
      <c r="J57" s="28">
        <f>IF(COUNT(E57:I57)=0,"",IF(COUNT(E57:I57)=1,"Solo dato","Ver formatos"))</f>
        <v/>
      </c>
      <c r="K57" s="31" t="inlineStr">
        <is>
          <t>Fuentes y productos en notas de precios.</t>
        </is>
      </c>
    </row>
    <row r="58" ht="38" customHeight="1" s="17">
      <c r="A58" s="29" t="inlineStr">
        <is>
          <t>Calamares</t>
        </is>
      </c>
      <c r="B58" s="29" t="inlineStr">
        <is>
          <t>Carnes y pescados</t>
        </is>
      </c>
      <c r="C58" s="30" t="inlineStr">
        <is>
          <t>ud</t>
        </is>
      </c>
      <c r="D58" s="31" t="inlineStr">
        <is>
          <t>M: 0.3 kg
Co: Envase/pieza publicado; ver nota</t>
        </is>
      </c>
      <c r="E58" s="32" t="n">
        <v>5.85</v>
      </c>
      <c r="F58" s="32" t="n"/>
      <c r="G58" s="32" t="n"/>
      <c r="H58" s="32" t="n"/>
      <c r="I58" s="32" t="n">
        <v>2.55</v>
      </c>
      <c r="J58" s="28">
        <f>IF(COUNT(E58:I58)=0,"",IF(COUNT(E58:I58)=1,"Solo dato","Ver formatos"))</f>
        <v/>
      </c>
      <c r="K58" s="31" t="inlineStr">
        <is>
          <t>Fuentes y productos en notas de precios. M: fuente indirecta.</t>
        </is>
      </c>
    </row>
    <row r="59" ht="53" customHeight="1" s="17">
      <c r="A59" s="29" t="inlineStr">
        <is>
          <t>Carne picada</t>
        </is>
      </c>
      <c r="B59" s="29" t="inlineStr">
        <is>
          <t>Carnes y pescados</t>
        </is>
      </c>
      <c r="C59" s="30" t="inlineStr">
        <is>
          <t>kg</t>
        </is>
      </c>
      <c r="D59" s="31" t="inlineStr">
        <is>
          <t>Co: 400 Gr
M: 0.5 kg
A: 340 g</t>
        </is>
      </c>
      <c r="E59" s="32" t="n">
        <v>5.5</v>
      </c>
      <c r="F59" s="32" t="n"/>
      <c r="G59" s="32" t="n">
        <v>17.03</v>
      </c>
      <c r="H59" s="32" t="n"/>
      <c r="I59" s="32" t="n">
        <v>10.98</v>
      </c>
      <c r="J59" s="28">
        <f>IF(COUNT(E59:I59)=0,"",IF(COUNT(E59:I59)=1,"Solo dato","Ver formatos"))</f>
        <v/>
      </c>
      <c r="K59" s="31" t="inlineStr">
        <is>
          <t>Fuentes y productos en notas de precios. M: fuente indirecta. Incluye oferta.</t>
        </is>
      </c>
    </row>
    <row r="60" ht="53" customHeight="1" s="17">
      <c r="A60" s="29" t="inlineStr">
        <is>
          <t>Chuletas de cerdo</t>
        </is>
      </c>
      <c r="B60" s="29" t="inlineStr">
        <is>
          <t>Carnes y pescados</t>
        </is>
      </c>
      <c r="C60" s="30" t="inlineStr">
        <is>
          <t>ud</t>
        </is>
      </c>
      <c r="D60" s="31" t="inlineStr">
        <is>
          <t>M: 0.73 kg
C: 1 kg
Co: Envase/pieza publicado; ver nota</t>
        </is>
      </c>
      <c r="E60" s="32" t="n">
        <v>3.76</v>
      </c>
      <c r="F60" s="32" t="n"/>
      <c r="G60" s="32" t="n"/>
      <c r="H60" s="32" t="n">
        <v>4.99</v>
      </c>
      <c r="I60" s="32" t="n">
        <v>3.56</v>
      </c>
      <c r="J60" s="28">
        <f>IF(COUNT(E60:I60)=0,"",IF(COUNT(E60:I60)=1,"Solo dato","Ver formatos"))</f>
        <v/>
      </c>
      <c r="K60" s="31" t="inlineStr">
        <is>
          <t>Fuentes y productos en notas de precios. M: fuente indirecta.</t>
        </is>
      </c>
    </row>
    <row r="61" ht="34" customHeight="1" s="17">
      <c r="A61" s="29" t="inlineStr">
        <is>
          <t>Conejo</t>
        </is>
      </c>
      <c r="B61" s="29" t="inlineStr">
        <is>
          <t>Carnes y pescados</t>
        </is>
      </c>
      <c r="C61" s="30" t="inlineStr">
        <is>
          <t>ud</t>
        </is>
      </c>
      <c r="D61" s="31" t="inlineStr">
        <is>
          <t>1.2 kg</t>
        </is>
      </c>
      <c r="E61" s="32" t="n">
        <v>10.68</v>
      </c>
      <c r="F61" s="32" t="n"/>
      <c r="G61" s="32" t="n"/>
      <c r="H61" s="32" t="n"/>
      <c r="I61" s="32" t="n"/>
      <c r="J61" s="28">
        <f>IF(COUNT(E61:I61)=0,"",IF(COUNT(E61:I61)=1,"Solo dato","Ver formatos"))</f>
        <v/>
      </c>
      <c r="K61" s="31" t="inlineStr">
        <is>
          <t>Fuentes y productos en notas de precios. M: fuente indirecta.</t>
        </is>
      </c>
    </row>
    <row r="62" ht="15" customHeight="1" s="17">
      <c r="A62" s="29" t="inlineStr">
        <is>
          <t>Cordero</t>
        </is>
      </c>
      <c r="B62" s="29" t="inlineStr">
        <is>
          <t>Carnes y pescados</t>
        </is>
      </c>
      <c r="C62" s="30" t="inlineStr">
        <is>
          <t>ud</t>
        </is>
      </c>
      <c r="D62" s="31" t="n"/>
      <c r="E62" s="32" t="n"/>
      <c r="F62" s="32" t="n"/>
      <c r="G62" s="32" t="n"/>
      <c r="H62" s="32" t="n"/>
      <c r="I62" s="32" t="n"/>
      <c r="J62" s="28">
        <f>IF(COUNT(E62:I62)=0,"",INDEX($E$1:$I$1,MATCH(MIN(E62:I62),E62:I62,0)))</f>
        <v/>
      </c>
      <c r="K62" s="31" t="n"/>
    </row>
    <row r="63" ht="68" customHeight="1" s="17">
      <c r="A63" s="29" t="inlineStr">
        <is>
          <t>Costillas de cerdo</t>
        </is>
      </c>
      <c r="B63" s="29" t="inlineStr">
        <is>
          <t>Carnes y pescados</t>
        </is>
      </c>
      <c r="C63" s="30" t="inlineStr">
        <is>
          <t>ud</t>
        </is>
      </c>
      <c r="D63" s="31" t="inlineStr">
        <is>
          <t>M: 0.9 kg
C: 700 g
Co: Envase/pieza publicado; ver nota
A: 500 g</t>
        </is>
      </c>
      <c r="E63" s="32" t="n">
        <v>5.13</v>
      </c>
      <c r="F63" s="32" t="n"/>
      <c r="G63" s="32" t="n">
        <v>3.63</v>
      </c>
      <c r="H63" s="32" t="n">
        <v>3.42</v>
      </c>
      <c r="I63" s="32" t="n">
        <v>4.81</v>
      </c>
      <c r="J63" s="28">
        <f>IF(COUNT(E63:I63)=0,"",IF(COUNT(E63:I63)=1,"Solo dato","Ver formatos"))</f>
        <v/>
      </c>
      <c r="K63" s="31" t="inlineStr">
        <is>
          <t>Fuentes y productos en notas de precios. M: fuente indirecta. Incluye oferta.</t>
        </is>
      </c>
    </row>
    <row r="64" ht="38" customHeight="1" s="17">
      <c r="A64" s="29" t="inlineStr">
        <is>
          <t>Dorada</t>
        </is>
      </c>
      <c r="B64" s="29" t="inlineStr">
        <is>
          <t>Carnes y pescados</t>
        </is>
      </c>
      <c r="C64" s="30" t="inlineStr">
        <is>
          <t>ud</t>
        </is>
      </c>
      <c r="D64" s="31" t="inlineStr">
        <is>
          <t>M: 0.4 kg
C: 600 g</t>
        </is>
      </c>
      <c r="E64" s="32" t="n">
        <v>5</v>
      </c>
      <c r="F64" s="32" t="n"/>
      <c r="G64" s="32" t="n">
        <v>4.49</v>
      </c>
      <c r="H64" s="32" t="n">
        <v>5.37</v>
      </c>
      <c r="I64" s="32" t="n"/>
      <c r="J64" s="28">
        <f>IF(COUNT(E64:I64)=0,"",IF(COUNT(E64:I64)=1,"Solo dato","Ver formatos"))</f>
        <v/>
      </c>
      <c r="K64" s="31" t="inlineStr">
        <is>
          <t>Fuentes y productos en notas de precios. M: fuente indirecta.</t>
        </is>
      </c>
    </row>
    <row r="65" ht="15" customHeight="1" s="17">
      <c r="A65" s="29" t="inlineStr">
        <is>
          <t>Filetes de ternera</t>
        </is>
      </c>
      <c r="B65" s="29" t="inlineStr">
        <is>
          <t>Carnes y pescados</t>
        </is>
      </c>
      <c r="C65" s="30" t="inlineStr">
        <is>
          <t>ud</t>
        </is>
      </c>
      <c r="D65" s="31" t="n"/>
      <c r="E65" s="32" t="n"/>
      <c r="F65" s="32" t="n"/>
      <c r="G65" s="32" t="n"/>
      <c r="H65" s="32" t="n"/>
      <c r="I65" s="32" t="n"/>
      <c r="J65" s="28">
        <f>IF(COUNT(E65:I65)=0,"",INDEX($E$1:$I$1,MATCH(MIN(E65:I65),E65:I65,0)))</f>
        <v/>
      </c>
      <c r="K65" s="31" t="n"/>
    </row>
    <row r="66" ht="38" customHeight="1" s="17">
      <c r="A66" s="29" t="inlineStr">
        <is>
          <t>Gambas</t>
        </is>
      </c>
      <c r="B66" s="29" t="inlineStr">
        <is>
          <t>Carnes y pescados</t>
        </is>
      </c>
      <c r="C66" s="30" t="inlineStr">
        <is>
          <t>ud</t>
        </is>
      </c>
      <c r="D66" s="31" t="inlineStr">
        <is>
          <t>Co: Envase/pieza publicado; ver nota
M: 0.3 kg</t>
        </is>
      </c>
      <c r="E66" s="32" t="n">
        <v>6.95</v>
      </c>
      <c r="F66" s="32" t="n"/>
      <c r="G66" s="32" t="n"/>
      <c r="H66" s="32" t="n"/>
      <c r="I66" s="32" t="n">
        <v>15.5</v>
      </c>
      <c r="J66" s="28">
        <f>IF(COUNT(E66:I66)=0,"",IF(COUNT(E66:I66)=1,"Solo dato","Ver formatos"))</f>
        <v/>
      </c>
      <c r="K66" s="31" t="inlineStr">
        <is>
          <t>Fuentes y productos en notas de precios. M: fuente indirecta.</t>
        </is>
      </c>
    </row>
    <row r="67" ht="53" customHeight="1" s="17">
      <c r="A67" s="29" t="inlineStr">
        <is>
          <t>Hamburguesas</t>
        </is>
      </c>
      <c r="B67" s="29" t="inlineStr">
        <is>
          <t>Carnes y pescados</t>
        </is>
      </c>
      <c r="C67" s="30" t="inlineStr">
        <is>
          <t>ud</t>
        </is>
      </c>
      <c r="D67" s="31" t="inlineStr">
        <is>
          <t>C: 2x150 g
Co: 360 Gr
A: 540 g</t>
        </is>
      </c>
      <c r="E67" s="32" t="n"/>
      <c r="F67" s="32" t="n"/>
      <c r="G67" s="32" t="n">
        <v>3.49</v>
      </c>
      <c r="H67" s="32" t="n">
        <v>5.19</v>
      </c>
      <c r="I67" s="32" t="n">
        <v>4.2</v>
      </c>
      <c r="J67" s="28">
        <f>IF(COUNT(E67:I67)=0,"",IF(COUNT(E67:I67)=1,"Solo dato","Ver formatos"))</f>
        <v/>
      </c>
      <c r="K67" s="31" t="inlineStr">
        <is>
          <t>Fuentes y productos en notas de precios. Incluye oferta.</t>
        </is>
      </c>
    </row>
    <row r="68" ht="53" customHeight="1" s="17">
      <c r="A68" s="29" t="inlineStr">
        <is>
          <t>Langostinos</t>
        </is>
      </c>
      <c r="B68" s="29" t="inlineStr">
        <is>
          <t>Carnes y pescados</t>
        </is>
      </c>
      <c r="C68" s="30" t="inlineStr">
        <is>
          <t>ud</t>
        </is>
      </c>
      <c r="D68" s="31" t="inlineStr">
        <is>
          <t>M: 0.6 kg
C: 1 kg
A: 500 g</t>
        </is>
      </c>
      <c r="E68" s="32" t="n">
        <v>6.45</v>
      </c>
      <c r="F68" s="32" t="n"/>
      <c r="G68" s="32" t="n">
        <v>4.29</v>
      </c>
      <c r="H68" s="32" t="n">
        <v>10.95</v>
      </c>
      <c r="I68" s="32" t="n"/>
      <c r="J68" s="28">
        <f>IF(COUNT(E68:I68)=0,"",IF(COUNT(E68:I68)=1,"Solo dato","Ver formatos"))</f>
        <v/>
      </c>
      <c r="K68" s="31" t="inlineStr">
        <is>
          <t>Fuentes y productos en notas de precios. M: fuente indirecta. Incluye oferta.</t>
        </is>
      </c>
    </row>
    <row r="69" ht="53" customHeight="1" s="17">
      <c r="A69" s="29" t="inlineStr">
        <is>
          <t>Lomo de cerdo</t>
        </is>
      </c>
      <c r="B69" s="29" t="inlineStr">
        <is>
          <t>Carnes y pescados</t>
        </is>
      </c>
      <c r="C69" s="30" t="inlineStr">
        <is>
          <t>ud</t>
        </is>
      </c>
      <c r="D69" s="31" t="inlineStr">
        <is>
          <t>M: 1.1 kg
C: 500 g
Co: Envase/pieza publicado; ver nota</t>
        </is>
      </c>
      <c r="E69" s="32" t="n">
        <v>4.95</v>
      </c>
      <c r="F69" s="32" t="n"/>
      <c r="G69" s="32" t="n"/>
      <c r="H69" s="32" t="n">
        <v>3.07</v>
      </c>
      <c r="I69" s="32" t="n">
        <v>3.45</v>
      </c>
      <c r="J69" s="28">
        <f>IF(COUNT(E69:I69)=0,"",IF(COUNT(E69:I69)=1,"Solo dato","Ver formatos"))</f>
        <v/>
      </c>
      <c r="K69" s="31" t="inlineStr">
        <is>
          <t>Fuentes y productos en notas de precios. M: fuente indirecta.</t>
        </is>
      </c>
    </row>
    <row r="70" ht="53" customHeight="1" s="17">
      <c r="A70" s="29" t="inlineStr">
        <is>
          <t>Lubina</t>
        </is>
      </c>
      <c r="B70" s="29" t="inlineStr">
        <is>
          <t>Carnes y pescados</t>
        </is>
      </c>
      <c r="C70" s="30" t="inlineStr">
        <is>
          <t>ud</t>
        </is>
      </c>
      <c r="D70" s="31" t="inlineStr">
        <is>
          <t>M: 0.4 kg
C: 600 g
Co: Envase/pieza publicado; ver nota</t>
        </is>
      </c>
      <c r="E70" s="32" t="n">
        <v>5.2</v>
      </c>
      <c r="F70" s="32" t="n"/>
      <c r="G70" s="32" t="n"/>
      <c r="H70" s="32" t="n">
        <v>7.17</v>
      </c>
      <c r="I70" s="32" t="n">
        <v>5.35</v>
      </c>
      <c r="J70" s="28">
        <f>IF(COUNT(E70:I70)=0,"",IF(COUNT(E70:I70)=1,"Solo dato","Ver formatos"))</f>
        <v/>
      </c>
      <c r="K70" s="31" t="inlineStr">
        <is>
          <t>Fuentes y productos en notas de precios. M: fuente indirecta.</t>
        </is>
      </c>
    </row>
    <row r="71" ht="15" customHeight="1" s="17">
      <c r="A71" s="29" t="inlineStr">
        <is>
          <t>Mejillones</t>
        </is>
      </c>
      <c r="B71" s="29" t="inlineStr">
        <is>
          <t>Carnes y pescados</t>
        </is>
      </c>
      <c r="C71" s="30" t="inlineStr">
        <is>
          <t>ud</t>
        </is>
      </c>
      <c r="D71" s="31" t="n"/>
      <c r="E71" s="32" t="n"/>
      <c r="F71" s="32" t="n"/>
      <c r="G71" s="32" t="n">
        <v>2.35</v>
      </c>
      <c r="H71" s="32" t="n"/>
      <c r="I71" s="32" t="n"/>
      <c r="J71" s="28">
        <f>IF(COUNT(E71:I71)=0,"",INDEX($E$1:$I$1,MATCH(MIN(E71:I71),E71:I71,0)))</f>
        <v/>
      </c>
      <c r="K71" s="31" t="n"/>
    </row>
    <row r="72" ht="38" customHeight="1" s="17">
      <c r="A72" s="29" t="inlineStr">
        <is>
          <t>Merluza</t>
        </is>
      </c>
      <c r="B72" s="29" t="inlineStr">
        <is>
          <t>Carnes y pescados</t>
        </is>
      </c>
      <c r="C72" s="30" t="inlineStr">
        <is>
          <t>ud</t>
        </is>
      </c>
      <c r="D72" s="31" t="inlineStr">
        <is>
          <t>Co: Envase/pieza publicado; ver nota
M: 0.313 kg</t>
        </is>
      </c>
      <c r="E72" s="32" t="n">
        <v>8.44</v>
      </c>
      <c r="F72" s="32" t="n"/>
      <c r="G72" s="32" t="n">
        <v>5.55</v>
      </c>
      <c r="H72" s="32" t="n"/>
      <c r="I72" s="32" t="n">
        <v>14.4</v>
      </c>
      <c r="J72" s="28">
        <f>IF(COUNT(E72:I72)=0,"",IF(COUNT(E72:I72)=1,"Solo dato","Ver formatos"))</f>
        <v/>
      </c>
      <c r="K72" s="31" t="inlineStr">
        <is>
          <t>Fuentes y productos en notas de precios. M: fuente indirecta.</t>
        </is>
      </c>
    </row>
    <row r="73" ht="38" customHeight="1" s="17">
      <c r="A73" s="29" t="inlineStr">
        <is>
          <t>Muslos de pollo</t>
        </is>
      </c>
      <c r="B73" s="29" t="inlineStr">
        <is>
          <t>Carnes y pescados</t>
        </is>
      </c>
      <c r="C73" s="30" t="inlineStr">
        <is>
          <t>kg</t>
        </is>
      </c>
      <c r="D73" s="31" t="inlineStr">
        <is>
          <t>M: 0.92 kg
C: 500 g</t>
        </is>
      </c>
      <c r="E73" s="32" t="n">
        <v>3.8</v>
      </c>
      <c r="F73" s="32" t="n"/>
      <c r="G73" s="32" t="n"/>
      <c r="H73" s="32" t="n">
        <v>13.95</v>
      </c>
      <c r="I73" s="32" t="n"/>
      <c r="J73" s="28">
        <f>IF(COUNT(E73:I73)=0,"",IF(COUNT(E73:I73)=1,"Solo dato",IF(E73=MIN(E73:I73),E$1,IF(F73=MIN(E73:I73),F$1,IF(G73=MIN(E73:I73),G$1,IF(H73=MIN(E73:I73),H$1,IF(I73=MIN(E73:I73),I$1,"")))))))</f>
        <v/>
      </c>
      <c r="K73" s="31" t="inlineStr">
        <is>
          <t>Fuentes y productos en notas de precios. M: fuente indirecta.</t>
        </is>
      </c>
    </row>
    <row r="74" ht="53" customHeight="1" s="17">
      <c r="A74" s="29" t="inlineStr">
        <is>
          <t>Pavo en filetes</t>
        </is>
      </c>
      <c r="B74" s="29" t="inlineStr">
        <is>
          <t>Carnes y pescados</t>
        </is>
      </c>
      <c r="C74" s="30" t="inlineStr">
        <is>
          <t>ud</t>
        </is>
      </c>
      <c r="D74" s="31" t="inlineStr">
        <is>
          <t>M: 0.58 kg
C: 600 g
Co: Envase/pieza publicado; ver nota</t>
        </is>
      </c>
      <c r="E74" s="32" t="n">
        <v>4.9</v>
      </c>
      <c r="F74" s="32" t="n"/>
      <c r="G74" s="32" t="n"/>
      <c r="H74" s="32" t="n">
        <v>5.15</v>
      </c>
      <c r="I74" s="32" t="n">
        <v>4.5</v>
      </c>
      <c r="J74" s="28">
        <f>IF(COUNT(E74:I74)=0,"",IF(COUNT(E74:I74)=1,"Solo dato","Ver formatos"))</f>
        <v/>
      </c>
      <c r="K74" s="31" t="inlineStr">
        <is>
          <t>Fuentes y productos en notas de precios. M: fuente indirecta.</t>
        </is>
      </c>
    </row>
    <row r="75" ht="68" customHeight="1" s="17">
      <c r="A75" s="29" t="inlineStr">
        <is>
          <t>Pechuga de pollo</t>
        </is>
      </c>
      <c r="B75" s="29" t="inlineStr">
        <is>
          <t>Carnes y pescados</t>
        </is>
      </c>
      <c r="C75" s="30" t="inlineStr">
        <is>
          <t>kg</t>
        </is>
      </c>
      <c r="D75" s="31" t="inlineStr">
        <is>
          <t>M: 0.58 kg
C: 1,2 kg
Co: Envase/pieza publicado; ver nota
A: 1 kg</t>
        </is>
      </c>
      <c r="E75" s="32" t="n">
        <v>6.66</v>
      </c>
      <c r="F75" s="32" t="n"/>
      <c r="G75" s="32" t="n">
        <v>5.49</v>
      </c>
      <c r="H75" s="32" t="n">
        <v>6.19</v>
      </c>
      <c r="I75" s="32" t="n">
        <v>6.95</v>
      </c>
      <c r="J75" s="28">
        <f>IF(COUNT(E75:I75)=0,"",IF(COUNT(E75:I75)=1,"Solo dato",IF(E75=MIN(E75:I75),E$1,IF(F75=MIN(E75:I75),F$1,IF(G75=MIN(E75:I75),G$1,IF(H75=MIN(E75:I75),H$1,IF(I75=MIN(E75:I75),I$1,"")))))))</f>
        <v/>
      </c>
      <c r="K75" s="31" t="inlineStr">
        <is>
          <t>Fuentes y productos en notas de precios. M: fuente indirecta. Incluye oferta.</t>
        </is>
      </c>
    </row>
    <row r="76" ht="34" customHeight="1" s="17">
      <c r="A76" s="29" t="inlineStr">
        <is>
          <t>Pollo entero</t>
        </is>
      </c>
      <c r="B76" s="29" t="inlineStr">
        <is>
          <t>Carnes y pescados</t>
        </is>
      </c>
      <c r="C76" s="30" t="inlineStr">
        <is>
          <t>ud</t>
        </is>
      </c>
      <c r="D76" s="31" t="inlineStr">
        <is>
          <t>1.9 kg</t>
        </is>
      </c>
      <c r="E76" s="32" t="n">
        <v>6.65</v>
      </c>
      <c r="F76" s="32" t="n"/>
      <c r="G76" s="32" t="n"/>
      <c r="H76" s="32" t="n"/>
      <c r="I76" s="32" t="n"/>
      <c r="J76" s="28">
        <f>IF(COUNT(E76:I76)=0,"",IF(COUNT(E76:I76)=1,"Solo dato","Ver formatos"))</f>
        <v/>
      </c>
      <c r="K76" s="31" t="inlineStr">
        <is>
          <t>Fuentes y productos en notas de precios. M: fuente indirecta.</t>
        </is>
      </c>
    </row>
    <row r="77" ht="38" customHeight="1" s="17">
      <c r="A77" s="29" t="inlineStr">
        <is>
          <t>Salchichas</t>
        </is>
      </c>
      <c r="B77" s="29" t="inlineStr">
        <is>
          <t>Carnes y pescados</t>
        </is>
      </c>
      <c r="C77" s="30" t="inlineStr">
        <is>
          <t>ud</t>
        </is>
      </c>
      <c r="D77" s="31" t="inlineStr">
        <is>
          <t>M: 0.5 kg
Co: 3 x 140 Gr</t>
        </is>
      </c>
      <c r="E77" s="32" t="n">
        <v>1.75</v>
      </c>
      <c r="F77" s="32" t="n"/>
      <c r="G77" s="32" t="n">
        <v>1.73</v>
      </c>
      <c r="H77" s="32" t="n"/>
      <c r="I77" s="32" t="n">
        <v>1.65</v>
      </c>
      <c r="J77" s="28">
        <f>IF(COUNT(E77:I77)=0,"",IF(COUNT(E77:I77)=1,"Solo dato","Ver formatos"))</f>
        <v/>
      </c>
      <c r="K77" s="31" t="inlineStr">
        <is>
          <t>Fuentes y productos en notas de precios. M: fuente indirecta.</t>
        </is>
      </c>
    </row>
    <row r="78" ht="38" customHeight="1" s="17">
      <c r="A78" s="29" t="inlineStr">
        <is>
          <t>Salmón</t>
        </is>
      </c>
      <c r="B78" s="29" t="inlineStr">
        <is>
          <t>Carnes y pescados</t>
        </is>
      </c>
      <c r="C78" s="30" t="inlineStr">
        <is>
          <t>ud</t>
        </is>
      </c>
      <c r="D78" s="31" t="inlineStr">
        <is>
          <t>M: 0.85 kg
C: 3 kg</t>
        </is>
      </c>
      <c r="E78" s="32" t="n">
        <v>16.15</v>
      </c>
      <c r="F78" s="32" t="n"/>
      <c r="G78" s="32" t="n">
        <v>7.99</v>
      </c>
      <c r="H78" s="32" t="n">
        <v>31.77</v>
      </c>
      <c r="I78" s="32" t="n"/>
      <c r="J78" s="28">
        <f>IF(COUNT(E78:I78)=0,"",IF(COUNT(E78:I78)=1,"Solo dato","Ver formatos"))</f>
        <v/>
      </c>
      <c r="K78" s="31" t="inlineStr">
        <is>
          <t>Fuentes y productos en notas de precios. M: fuente indirecta.</t>
        </is>
      </c>
    </row>
    <row r="79" ht="53" customHeight="1" s="17">
      <c r="A79" s="29" t="inlineStr">
        <is>
          <t>Sardinas</t>
        </is>
      </c>
      <c r="B79" s="29" t="inlineStr">
        <is>
          <t>Carnes y pescados</t>
        </is>
      </c>
      <c r="C79" s="30" t="inlineStr">
        <is>
          <t>ud</t>
        </is>
      </c>
      <c r="D79" s="31" t="inlineStr">
        <is>
          <t>M: 0.4 kg
C: 1 kg
Co: Envase/pieza publicado; ver nota</t>
        </is>
      </c>
      <c r="E79" s="32" t="n">
        <v>2.8</v>
      </c>
      <c r="F79" s="32" t="n"/>
      <c r="G79" s="32" t="n"/>
      <c r="H79" s="32" t="n">
        <v>5.95</v>
      </c>
      <c r="I79" s="32" t="n">
        <v>6.95</v>
      </c>
      <c r="J79" s="28">
        <f>IF(COUNT(E79:I79)=0,"",IF(COUNT(E79:I79)=1,"Solo dato","Ver formatos"))</f>
        <v/>
      </c>
      <c r="K79" s="31" t="inlineStr">
        <is>
          <t>Fuentes y productos en notas de precios. M: fuente indirecta.</t>
        </is>
      </c>
    </row>
    <row r="80" ht="15" customHeight="1" s="17">
      <c r="A80" s="29" t="inlineStr">
        <is>
          <t>Secreto ibérico</t>
        </is>
      </c>
      <c r="B80" s="29" t="inlineStr">
        <is>
          <t>Carnes y pescados</t>
        </is>
      </c>
      <c r="C80" s="30" t="inlineStr">
        <is>
          <t>ud</t>
        </is>
      </c>
      <c r="D80" s="31" t="n"/>
      <c r="E80" s="32" t="n"/>
      <c r="F80" s="32" t="n"/>
      <c r="G80" s="32" t="n"/>
      <c r="H80" s="32" t="n"/>
      <c r="I80" s="32" t="n"/>
      <c r="J80" s="28">
        <f>IF(COUNT(E80:I80)=0,"",INDEX($E$1:$I$1,MATCH(MIN(E80:I80),E80:I80,0)))</f>
        <v/>
      </c>
      <c r="K80" s="31" t="n"/>
    </row>
    <row r="81" ht="38" customHeight="1" s="17">
      <c r="A81" s="29" t="inlineStr">
        <is>
          <t>Sepia</t>
        </is>
      </c>
      <c r="B81" s="29" t="inlineStr">
        <is>
          <t>Carnes y pescados</t>
        </is>
      </c>
      <c r="C81" s="30" t="inlineStr">
        <is>
          <t>ud</t>
        </is>
      </c>
      <c r="D81" s="31" t="inlineStr">
        <is>
          <t>M: 0.51 kg
Co: Envase/pieza publicado; ver nota</t>
        </is>
      </c>
      <c r="E81" s="32" t="n">
        <v>8.640000000000001</v>
      </c>
      <c r="F81" s="32" t="n"/>
      <c r="G81" s="32" t="n">
        <v>4.99</v>
      </c>
      <c r="H81" s="32" t="n"/>
      <c r="I81" s="32" t="n">
        <v>8.26</v>
      </c>
      <c r="J81" s="28">
        <f>IF(COUNT(E81:I81)=0,"",IF(COUNT(E81:I81)=1,"Solo dato","Ver formatos"))</f>
        <v/>
      </c>
      <c r="K81" s="31" t="inlineStr">
        <is>
          <t>Fuentes y productos en notas de precios. M: fuente indirecta.</t>
        </is>
      </c>
    </row>
    <row r="82" ht="53" customHeight="1" s="17">
      <c r="A82" s="29" t="inlineStr">
        <is>
          <t>Bacon</t>
        </is>
      </c>
      <c r="B82" s="29" t="inlineStr">
        <is>
          <t>Charcutería y quesos</t>
        </is>
      </c>
      <c r="C82" s="30" t="inlineStr">
        <is>
          <t>ud</t>
        </is>
      </c>
      <c r="D82" s="31" t="inlineStr">
        <is>
          <t>M: 0.26 kg
C: 200 g
Co: 2 x 100 Gr</t>
        </is>
      </c>
      <c r="E82" s="32" t="n">
        <v>1.95</v>
      </c>
      <c r="F82" s="32" t="n"/>
      <c r="G82" s="32" t="n">
        <v>1.86</v>
      </c>
      <c r="H82" s="32" t="n">
        <v>2.15</v>
      </c>
      <c r="I82" s="32" t="n">
        <v>1.9</v>
      </c>
      <c r="J82" s="28">
        <f>IF(COUNT(E82:I82)=0,"",IF(COUNT(E82:I82)=1,"Solo dato","Ver formatos"))</f>
        <v/>
      </c>
      <c r="K82" s="31" t="inlineStr">
        <is>
          <t>Fuentes y productos en notas de precios. M: fuente indirecta.</t>
        </is>
      </c>
    </row>
    <row r="83" ht="38" customHeight="1" s="17">
      <c r="A83" s="29" t="inlineStr">
        <is>
          <t>Chorizo</t>
        </is>
      </c>
      <c r="B83" s="29" t="inlineStr">
        <is>
          <t>Charcutería y quesos</t>
        </is>
      </c>
      <c r="C83" s="30" t="inlineStr">
        <is>
          <t>ud</t>
        </is>
      </c>
      <c r="D83" s="31" t="inlineStr">
        <is>
          <t>M: 0.36 kg
Co: 280 Gr</t>
        </is>
      </c>
      <c r="E83" s="32" t="n">
        <v>2.57</v>
      </c>
      <c r="F83" s="32" t="n"/>
      <c r="G83" s="32" t="n">
        <v>1.75</v>
      </c>
      <c r="H83" s="32" t="n"/>
      <c r="I83" s="32" t="n">
        <v>2.49</v>
      </c>
      <c r="J83" s="28">
        <f>IF(COUNT(E83:I83)=0,"",IF(COUNT(E83:I83)=1,"Solo dato","Ver formatos"))</f>
        <v/>
      </c>
      <c r="K83" s="31" t="inlineStr">
        <is>
          <t>Fuentes y productos en notas de precios. M: fuente indirecta.</t>
        </is>
      </c>
    </row>
    <row r="84" ht="38" customHeight="1" s="17">
      <c r="A84" s="29" t="inlineStr">
        <is>
          <t>Fuet</t>
        </is>
      </c>
      <c r="B84" s="29" t="inlineStr">
        <is>
          <t>Charcutería y quesos</t>
        </is>
      </c>
      <c r="C84" s="30" t="inlineStr">
        <is>
          <t>ud</t>
        </is>
      </c>
      <c r="D84" s="31" t="inlineStr">
        <is>
          <t>M: 0.24 kg
Co: 180 Gr</t>
        </is>
      </c>
      <c r="E84" s="32" t="n">
        <v>2.5</v>
      </c>
      <c r="F84" s="32" t="n"/>
      <c r="G84" s="32" t="n">
        <v>1.79</v>
      </c>
      <c r="H84" s="32" t="n"/>
      <c r="I84" s="32" t="n">
        <v>2.49</v>
      </c>
      <c r="J84" s="28">
        <f>IF(COUNT(E84:I84)=0,"",IF(COUNT(E84:I84)=1,"Solo dato","Ver formatos"))</f>
        <v/>
      </c>
      <c r="K84" s="31" t="inlineStr">
        <is>
          <t>Fuentes y productos en notas de precios. M: fuente indirecta.</t>
        </is>
      </c>
    </row>
    <row r="85" ht="38" customHeight="1" s="17">
      <c r="A85" s="29" t="inlineStr">
        <is>
          <t>Jamón cocido</t>
        </is>
      </c>
      <c r="B85" s="29" t="inlineStr">
        <is>
          <t>Charcutería y quesos</t>
        </is>
      </c>
      <c r="C85" s="30" t="inlineStr">
        <is>
          <t>ud</t>
        </is>
      </c>
      <c r="D85" s="31" t="inlineStr">
        <is>
          <t>M: 0.25 kg
Co: 200 Gr</t>
        </is>
      </c>
      <c r="E85" s="32" t="n">
        <v>1.95</v>
      </c>
      <c r="F85" s="32" t="n"/>
      <c r="G85" s="32" t="n">
        <v>1.95</v>
      </c>
      <c r="H85" s="32" t="n"/>
      <c r="I85" s="32" t="n">
        <v>2.05</v>
      </c>
      <c r="J85" s="28">
        <f>IF(COUNT(E85:I85)=0,"",IF(COUNT(E85:I85)=1,"Solo dato","Ver formatos"))</f>
        <v/>
      </c>
      <c r="K85" s="31" t="inlineStr">
        <is>
          <t>Fuentes y productos en notas de precios. M: fuente indirecta.</t>
        </is>
      </c>
    </row>
    <row r="86" ht="38" customHeight="1" s="17">
      <c r="A86" s="29" t="inlineStr">
        <is>
          <t>Jamón serrano</t>
        </is>
      </c>
      <c r="B86" s="29" t="inlineStr">
        <is>
          <t>Charcutería y quesos</t>
        </is>
      </c>
      <c r="C86" s="30" t="inlineStr">
        <is>
          <t>ud</t>
        </is>
      </c>
      <c r="D86" s="31" t="inlineStr">
        <is>
          <t>M: 7.5 kg
Co: 80 Gr</t>
        </is>
      </c>
      <c r="E86" s="32" t="n">
        <v>65</v>
      </c>
      <c r="F86" s="32" t="n"/>
      <c r="G86" s="32" t="n">
        <v>2.99</v>
      </c>
      <c r="H86" s="32" t="n"/>
      <c r="I86" s="32" t="n">
        <v>2.99</v>
      </c>
      <c r="J86" s="28">
        <f>IF(COUNT(E86:I86)=0,"",IF(COUNT(E86:I86)=1,"Solo dato","Ver formatos"))</f>
        <v/>
      </c>
      <c r="K86" s="31" t="inlineStr">
        <is>
          <t>Fuentes y productos en notas de precios. M: fuente indirecta.</t>
        </is>
      </c>
    </row>
    <row r="87" ht="34" customHeight="1" s="17">
      <c r="A87" s="29" t="inlineStr">
        <is>
          <t>Lomo embuchado</t>
        </is>
      </c>
      <c r="B87" s="29" t="inlineStr">
        <is>
          <t>Charcutería y quesos</t>
        </is>
      </c>
      <c r="C87" s="30" t="inlineStr">
        <is>
          <t>ud</t>
        </is>
      </c>
      <c r="D87" s="31" t="inlineStr">
        <is>
          <t>40 Gr</t>
        </is>
      </c>
      <c r="E87" s="32" t="n"/>
      <c r="F87" s="32" t="n"/>
      <c r="G87" s="32" t="n">
        <v>2.49</v>
      </c>
      <c r="H87" s="32" t="n"/>
      <c r="I87" s="32" t="n">
        <v>1.2</v>
      </c>
      <c r="J87" s="28">
        <f>IF(COUNT(E87:I87)=0,"",IF(COUNT(E87:I87)=1,"Solo dato","Ver formatos"))</f>
        <v/>
      </c>
      <c r="K87" s="31" t="inlineStr">
        <is>
          <t>Fuentes y productos en notas de precios.</t>
        </is>
      </c>
    </row>
    <row r="88" ht="34" customHeight="1" s="17">
      <c r="A88" s="29" t="inlineStr">
        <is>
          <t>Mortadela</t>
        </is>
      </c>
      <c r="B88" s="29" t="inlineStr">
        <is>
          <t>Charcutería y quesos</t>
        </is>
      </c>
      <c r="C88" s="30" t="inlineStr">
        <is>
          <t>ud</t>
        </is>
      </c>
      <c r="D88" s="31" t="inlineStr">
        <is>
          <t>0.25 kg</t>
        </is>
      </c>
      <c r="E88" s="32" t="n">
        <v>1.25</v>
      </c>
      <c r="F88" s="32" t="n"/>
      <c r="G88" s="32" t="n">
        <v>1.35</v>
      </c>
      <c r="H88" s="32" t="n"/>
      <c r="I88" s="32" t="n"/>
      <c r="J88" s="28">
        <f>IF(COUNT(E88:I88)=0,"",IF(COUNT(E88:I88)=1,"Solo dato","Ver formatos"))</f>
        <v/>
      </c>
      <c r="K88" s="31" t="inlineStr">
        <is>
          <t>Fuentes y productos en notas de precios. M: fuente indirecta.</t>
        </is>
      </c>
    </row>
    <row r="89" ht="53" customHeight="1" s="17">
      <c r="A89" s="29" t="inlineStr">
        <is>
          <t>Mozzarella</t>
        </is>
      </c>
      <c r="B89" s="29" t="inlineStr">
        <is>
          <t>Charcutería y quesos</t>
        </is>
      </c>
      <c r="C89" s="30" t="inlineStr">
        <is>
          <t>ud</t>
        </is>
      </c>
      <c r="D89" s="31" t="inlineStr">
        <is>
          <t>M: 0.25 kg
C: 125 g
Co: 100 Gr</t>
        </is>
      </c>
      <c r="E89" s="32" t="n">
        <v>0.9</v>
      </c>
      <c r="F89" s="32" t="n"/>
      <c r="G89" s="32" t="n">
        <v>0.85</v>
      </c>
      <c r="H89" s="32" t="n">
        <v>0.9</v>
      </c>
      <c r="I89" s="32" t="n">
        <v>1</v>
      </c>
      <c r="J89" s="28">
        <f>IF(COUNT(E89:I89)=0,"",IF(COUNT(E89:I89)=1,"Solo dato","Ver formatos"))</f>
        <v/>
      </c>
      <c r="K89" s="31" t="inlineStr">
        <is>
          <t>Fuentes y productos en notas de precios. M: fuente indirecta.</t>
        </is>
      </c>
    </row>
    <row r="90" ht="34" customHeight="1" s="17">
      <c r="A90" s="29" t="inlineStr">
        <is>
          <t>Parmesano</t>
        </is>
      </c>
      <c r="B90" s="29" t="inlineStr">
        <is>
          <t>Charcutería y quesos</t>
        </is>
      </c>
      <c r="C90" s="30" t="inlineStr">
        <is>
          <t>ud</t>
        </is>
      </c>
      <c r="D90" s="31" t="inlineStr">
        <is>
          <t>60 Gr</t>
        </is>
      </c>
      <c r="E90" s="32" t="n"/>
      <c r="F90" s="32" t="n"/>
      <c r="G90" s="32" t="n">
        <v>3.09</v>
      </c>
      <c r="H90" s="32" t="n"/>
      <c r="I90" s="32" t="n">
        <v>2.15</v>
      </c>
      <c r="J90" s="28">
        <f>IF(COUNT(E90:I90)=0,"",IF(COUNT(E90:I90)=1,"Solo dato","Ver formatos"))</f>
        <v/>
      </c>
      <c r="K90" s="31" t="inlineStr">
        <is>
          <t>Fuentes y productos en notas de precios. Incluye oferta.</t>
        </is>
      </c>
    </row>
    <row r="91" ht="38" customHeight="1" s="17">
      <c r="A91" s="29" t="inlineStr">
        <is>
          <t>Pechuga de pavo</t>
        </is>
      </c>
      <c r="B91" s="29" t="inlineStr">
        <is>
          <t>Charcutería y quesos</t>
        </is>
      </c>
      <c r="C91" s="30" t="inlineStr">
        <is>
          <t>ud</t>
        </is>
      </c>
      <c r="D91" s="31" t="inlineStr">
        <is>
          <t>M: 0.4 kg
Co: 200 Gr</t>
        </is>
      </c>
      <c r="E91" s="32" t="n">
        <v>3.45</v>
      </c>
      <c r="F91" s="32" t="n"/>
      <c r="G91" s="32" t="n">
        <v>2.35</v>
      </c>
      <c r="H91" s="32" t="n"/>
      <c r="I91" s="32" t="n">
        <v>2.3</v>
      </c>
      <c r="J91" s="28">
        <f>IF(COUNT(E91:I91)=0,"",IF(COUNT(E91:I91)=1,"Solo dato","Ver formatos"))</f>
        <v/>
      </c>
      <c r="K91" s="31" t="inlineStr">
        <is>
          <t>Fuentes y productos en notas de precios. M: fuente indirecta.</t>
        </is>
      </c>
    </row>
    <row r="92" ht="38" customHeight="1" s="17">
      <c r="A92" s="29" t="inlineStr">
        <is>
          <t>Quesitos</t>
        </is>
      </c>
      <c r="B92" s="29" t="inlineStr">
        <is>
          <t>Charcutería y quesos</t>
        </is>
      </c>
      <c r="C92" s="30" t="inlineStr">
        <is>
          <t>ud</t>
        </is>
      </c>
      <c r="D92" s="31" t="inlineStr">
        <is>
          <t>M: 0.375 kg
Co: 250 Gr</t>
        </is>
      </c>
      <c r="E92" s="32" t="n">
        <v>1.95</v>
      </c>
      <c r="F92" s="32" t="n"/>
      <c r="G92" s="32" t="n"/>
      <c r="H92" s="32" t="n"/>
      <c r="I92" s="32" t="n">
        <v>3.15</v>
      </c>
      <c r="J92" s="28">
        <f>IF(COUNT(E92:I92)=0,"",IF(COUNT(E92:I92)=1,"Solo dato","Ver formatos"))</f>
        <v/>
      </c>
      <c r="K92" s="31" t="inlineStr">
        <is>
          <t>Fuentes y productos en notas de precios. M: fuente indirecta. Incluye oferta.</t>
        </is>
      </c>
    </row>
    <row r="93" ht="53" customHeight="1" s="17">
      <c r="A93" s="29" t="inlineStr">
        <is>
          <t>Queso curado</t>
        </is>
      </c>
      <c r="B93" s="29" t="inlineStr">
        <is>
          <t>Charcutería y quesos</t>
        </is>
      </c>
      <c r="C93" s="30" t="inlineStr">
        <is>
          <t>ud</t>
        </is>
      </c>
      <c r="D93" s="31" t="inlineStr">
        <is>
          <t>Co: Envase/pieza publicado; ver nota
M: 0.3 kg
A: 250 g</t>
        </is>
      </c>
      <c r="E93" s="32" t="n">
        <v>2.85</v>
      </c>
      <c r="F93" s="32" t="n"/>
      <c r="G93" s="32" t="n">
        <v>9.789999999999999</v>
      </c>
      <c r="H93" s="32" t="n"/>
      <c r="I93" s="32" t="n">
        <v>3.72</v>
      </c>
      <c r="J93" s="28">
        <f>IF(COUNT(E93:I93)=0,"",IF(COUNT(E93:I93)=1,"Solo dato","Ver formatos"))</f>
        <v/>
      </c>
      <c r="K93" s="31" t="inlineStr">
        <is>
          <t>Fuentes y productos en notas de precios. M: fuente indirecta. Incluye oferta.</t>
        </is>
      </c>
    </row>
    <row r="94" ht="34" customHeight="1" s="17">
      <c r="A94" s="29" t="inlineStr">
        <is>
          <t>Queso de cabra</t>
        </is>
      </c>
      <c r="B94" s="29" t="inlineStr">
        <is>
          <t>Charcutería y quesos</t>
        </is>
      </c>
      <c r="C94" s="30" t="inlineStr">
        <is>
          <t>ud</t>
        </is>
      </c>
      <c r="D94" s="31" t="inlineStr">
        <is>
          <t>180 Gr</t>
        </is>
      </c>
      <c r="E94" s="32" t="n"/>
      <c r="F94" s="32" t="n"/>
      <c r="G94" s="32" t="n">
        <v>2.29</v>
      </c>
      <c r="H94" s="32" t="n"/>
      <c r="I94" s="32" t="n">
        <v>3.75</v>
      </c>
      <c r="J94" s="28">
        <f>IF(COUNT(E94:I94)=0,"",IF(COUNT(E94:I94)=1,"Solo dato","Ver formatos"))</f>
        <v/>
      </c>
      <c r="K94" s="31" t="inlineStr">
        <is>
          <t>Fuentes y productos en notas de precios.</t>
        </is>
      </c>
    </row>
    <row r="95" ht="53" customHeight="1" s="17">
      <c r="A95" s="29" t="inlineStr">
        <is>
          <t>Queso de untar</t>
        </is>
      </c>
      <c r="B95" s="29" t="inlineStr">
        <is>
          <t>Charcutería y quesos</t>
        </is>
      </c>
      <c r="C95" s="30" t="inlineStr">
        <is>
          <t>ud</t>
        </is>
      </c>
      <c r="D95" s="31" t="inlineStr">
        <is>
          <t>M: 0.3 kg
C: 300 g
Co: 250 Gr</t>
        </is>
      </c>
      <c r="E95" s="32" t="n">
        <v>1.4</v>
      </c>
      <c r="F95" s="32" t="n"/>
      <c r="G95" s="32" t="n">
        <v>1.39</v>
      </c>
      <c r="H95" s="32" t="n">
        <v>1.4</v>
      </c>
      <c r="I95" s="32" t="n">
        <v>1.28</v>
      </c>
      <c r="J95" s="28">
        <f>IF(COUNT(E95:I95)=0,"",IF(COUNT(E95:I95)=1,"Solo dato","Ver formatos"))</f>
        <v/>
      </c>
      <c r="K95" s="31" t="inlineStr">
        <is>
          <t>Fuentes y productos en notas de precios. M: fuente indirecta.</t>
        </is>
      </c>
    </row>
    <row r="96" ht="53" customHeight="1" s="17">
      <c r="A96" s="29" t="inlineStr">
        <is>
          <t>Queso en lonchas</t>
        </is>
      </c>
      <c r="B96" s="29" t="inlineStr">
        <is>
          <t>Charcutería y quesos</t>
        </is>
      </c>
      <c r="C96" s="30" t="inlineStr">
        <is>
          <t>ud</t>
        </is>
      </c>
      <c r="D96" s="31" t="inlineStr">
        <is>
          <t>M: 0.3 kg
C: 300 g
Co: 80 Gr</t>
        </is>
      </c>
      <c r="E96" s="32" t="n">
        <v>1.95</v>
      </c>
      <c r="F96" s="32" t="n"/>
      <c r="G96" s="32" t="n">
        <v>1.59</v>
      </c>
      <c r="H96" s="32" t="n">
        <v>1.87</v>
      </c>
      <c r="I96" s="32" t="n">
        <v>1.49</v>
      </c>
      <c r="J96" s="28">
        <f>IF(COUNT(E96:I96)=0,"",IF(COUNT(E96:I96)=1,"Solo dato","Ver formatos"))</f>
        <v/>
      </c>
      <c r="K96" s="31" t="inlineStr">
        <is>
          <t>Fuentes y productos en notas de precios. M: fuente indirecta.</t>
        </is>
      </c>
    </row>
    <row r="97" ht="53" customHeight="1" s="17">
      <c r="A97" s="29" t="inlineStr">
        <is>
          <t>Queso fresco</t>
        </is>
      </c>
      <c r="B97" s="29" t="inlineStr">
        <is>
          <t>Charcutería y quesos</t>
        </is>
      </c>
      <c r="C97" s="30" t="inlineStr">
        <is>
          <t>ud</t>
        </is>
      </c>
      <c r="D97" s="31" t="inlineStr">
        <is>
          <t>M: 0.25 kg
C: 500 g
Co: 250 Gr</t>
        </is>
      </c>
      <c r="E97" s="32" t="n">
        <v>1.6</v>
      </c>
      <c r="F97" s="32" t="n"/>
      <c r="G97" s="32" t="n">
        <v>1.09</v>
      </c>
      <c r="H97" s="32" t="n">
        <v>2.05</v>
      </c>
      <c r="I97" s="32" t="n">
        <v>2.54</v>
      </c>
      <c r="J97" s="28">
        <f>IF(COUNT(E97:I97)=0,"",IF(COUNT(E97:I97)=1,"Solo dato","Ver formatos"))</f>
        <v/>
      </c>
      <c r="K97" s="31" t="inlineStr">
        <is>
          <t>Fuentes y productos en notas de precios. M: fuente indirecta.</t>
        </is>
      </c>
    </row>
    <row r="98" ht="53" customHeight="1" s="17">
      <c r="A98" s="29" t="inlineStr">
        <is>
          <t>Queso rallado</t>
        </is>
      </c>
      <c r="B98" s="29" t="inlineStr">
        <is>
          <t>Charcutería y quesos</t>
        </is>
      </c>
      <c r="C98" s="30" t="inlineStr">
        <is>
          <t>ud</t>
        </is>
      </c>
      <c r="D98" s="31" t="inlineStr">
        <is>
          <t>M: 0.2 kg
C: 200 g
Co: 200 Gr</t>
        </is>
      </c>
      <c r="E98" s="32" t="n">
        <v>1.75</v>
      </c>
      <c r="F98" s="32" t="n"/>
      <c r="G98" s="32" t="n">
        <v>1.9</v>
      </c>
      <c r="H98" s="32" t="n">
        <v>2.05</v>
      </c>
      <c r="I98" s="32" t="n">
        <v>1.69</v>
      </c>
      <c r="J98" s="28">
        <f>IF(COUNT(E98:I98)=0,"",IF(COUNT(E98:I98)=1,"Solo dato",IF(E98=MIN(E98:I98),E$1,IF(F98=MIN(E98:I98),F$1,IF(G98=MIN(E98:I98),G$1,IF(H98=MIN(E98:I98),H$1,IF(I98=MIN(E98:I98),I$1,"")))))))</f>
        <v/>
      </c>
      <c r="K98" s="31" t="inlineStr">
        <is>
          <t>Fuentes y productos en notas de precios. M: fuente indirecta.</t>
        </is>
      </c>
    </row>
    <row r="99" ht="38" customHeight="1" s="17">
      <c r="A99" s="29" t="inlineStr">
        <is>
          <t>Queso semicurado</t>
        </is>
      </c>
      <c r="B99" s="29" t="inlineStr">
        <is>
          <t>Charcutería y quesos</t>
        </is>
      </c>
      <c r="C99" s="30" t="inlineStr">
        <is>
          <t>ud</t>
        </is>
      </c>
      <c r="D99" s="31" t="inlineStr">
        <is>
          <t>M: 0.42 kg
Co: 200 Gr</t>
        </is>
      </c>
      <c r="E99" s="32" t="n">
        <v>4.07</v>
      </c>
      <c r="F99" s="32" t="n"/>
      <c r="G99" s="32" t="n">
        <v>2.29</v>
      </c>
      <c r="H99" s="32" t="n"/>
      <c r="I99" s="32" t="n">
        <v>5.25</v>
      </c>
      <c r="J99" s="28">
        <f>IF(COUNT(E99:I99)=0,"",IF(COUNT(E99:I99)=1,"Solo dato","Ver formatos"))</f>
        <v/>
      </c>
      <c r="K99" s="31" t="inlineStr">
        <is>
          <t>Fuentes y productos en notas de precios. M: fuente indirecta.</t>
        </is>
      </c>
    </row>
    <row r="100" ht="38" customHeight="1" s="17">
      <c r="A100" s="29" t="inlineStr">
        <is>
          <t>Salchichón</t>
        </is>
      </c>
      <c r="B100" s="29" t="inlineStr">
        <is>
          <t>Charcutería y quesos</t>
        </is>
      </c>
      <c r="C100" s="30" t="inlineStr">
        <is>
          <t>ud</t>
        </is>
      </c>
      <c r="D100" s="31" t="inlineStr">
        <is>
          <t>M: 0.24 kg
Co: 4 x 60 Gr</t>
        </is>
      </c>
      <c r="E100" s="32" t="n">
        <v>1.75</v>
      </c>
      <c r="F100" s="32" t="n"/>
      <c r="G100" s="32" t="n">
        <v>1.69</v>
      </c>
      <c r="H100" s="32" t="n"/>
      <c r="I100" s="32" t="n">
        <v>1.75</v>
      </c>
      <c r="J100" s="28">
        <f>IF(COUNT(E100:I100)=0,"",IF(COUNT(E100:I100)=1,"Solo dato",IF(E100=MIN(E100:I100),E$1,IF(F100=MIN(E100:I100),F$1,IF(G100=MIN(E100:I100),G$1,IF(H100=MIN(E100:I100),H$1,IF(I100=MIN(E100:I100),I$1,"")))))))</f>
        <v/>
      </c>
      <c r="K100" s="31" t="inlineStr">
        <is>
          <t>Fuentes y productos en notas de precios. M: fuente indirecta.</t>
        </is>
      </c>
    </row>
    <row r="101" ht="34" customHeight="1" s="17">
      <c r="A101" s="29" t="inlineStr">
        <is>
          <t>Batidos</t>
        </is>
      </c>
      <c r="B101" s="29" t="inlineStr">
        <is>
          <t>Lácteos y huevos</t>
        </is>
      </c>
      <c r="C101" s="30" t="inlineStr">
        <is>
          <t>ud</t>
        </is>
      </c>
      <c r="D101" s="31" t="inlineStr">
        <is>
          <t>1 l</t>
        </is>
      </c>
      <c r="E101" s="32" t="n">
        <v>1.3</v>
      </c>
      <c r="F101" s="32" t="n"/>
      <c r="G101" s="32" t="n">
        <v>1.55</v>
      </c>
      <c r="H101" s="32" t="n"/>
      <c r="I101" s="32" t="n"/>
      <c r="J101" s="28">
        <f>IF(COUNT(E101:I101)=0,"",IF(COUNT(E101:I101)=1,"Solo dato","Ver formatos"))</f>
        <v/>
      </c>
      <c r="K101" s="31" t="inlineStr">
        <is>
          <t>Fuentes y productos en notas de precios. M: fuente indirecta.</t>
        </is>
      </c>
    </row>
    <row r="102" ht="38" customHeight="1" s="17">
      <c r="A102" s="29" t="inlineStr">
        <is>
          <t>Bebida de avena</t>
        </is>
      </c>
      <c r="B102" s="29" t="inlineStr">
        <is>
          <t>Lácteos y huevos</t>
        </is>
      </c>
      <c r="C102" s="30" t="inlineStr">
        <is>
          <t>l</t>
        </is>
      </c>
      <c r="D102" s="31" t="inlineStr">
        <is>
          <t>M: 1 l
Co: 1 L</t>
        </is>
      </c>
      <c r="E102" s="32" t="n">
        <v>0.95</v>
      </c>
      <c r="F102" s="32" t="n"/>
      <c r="G102" s="32" t="n">
        <v>1.69</v>
      </c>
      <c r="H102" s="32" t="n"/>
      <c r="I102" s="32" t="n">
        <v>1.65</v>
      </c>
      <c r="J102" s="28">
        <f>IF(COUNT(E102:I102)=0,"",IF(COUNT(E102:I102)=1,"Solo dato",IF(E102=MIN(E102:I102),E$1,IF(F102=MIN(E102:I102),F$1,IF(G102=MIN(E102:I102),G$1,IF(H102=MIN(E102:I102),H$1,IF(I102=MIN(E102:I102),I$1,"")))))))</f>
        <v/>
      </c>
      <c r="K102" s="31" t="inlineStr">
        <is>
          <t>Fuentes y productos en notas de precios. M: fuente indirecta.</t>
        </is>
      </c>
    </row>
    <row r="103" ht="38" customHeight="1" s="17">
      <c r="A103" s="29" t="inlineStr">
        <is>
          <t>Bebida de soja</t>
        </is>
      </c>
      <c r="B103" s="29" t="inlineStr">
        <is>
          <t>Lácteos y huevos</t>
        </is>
      </c>
      <c r="C103" s="30" t="inlineStr">
        <is>
          <t>l</t>
        </is>
      </c>
      <c r="D103" s="31" t="inlineStr">
        <is>
          <t>M: 1 l
Co: 1 L</t>
        </is>
      </c>
      <c r="E103" s="32" t="n">
        <v>0.75</v>
      </c>
      <c r="F103" s="32" t="n"/>
      <c r="G103" s="32" t="n">
        <v>0.62</v>
      </c>
      <c r="H103" s="32" t="n"/>
      <c r="I103" s="32" t="n">
        <v>0.75</v>
      </c>
      <c r="J103" s="28">
        <f>IF(COUNT(E103:I103)=0,"",IF(COUNT(E103:I103)=1,"Solo dato",IF(E103=MIN(E103:I103),E$1,IF(F103=MIN(E103:I103),F$1,IF(G103=MIN(E103:I103),G$1,IF(H103=MIN(E103:I103),H$1,IF(I103=MIN(E103:I103),I$1,"")))))))</f>
        <v/>
      </c>
      <c r="K103" s="31" t="inlineStr">
        <is>
          <t>Fuentes y productos en notas de precios. M: fuente indirecta.</t>
        </is>
      </c>
    </row>
    <row r="104" ht="38" customHeight="1" s="17">
      <c r="A104" s="29" t="inlineStr">
        <is>
          <t>Flan</t>
        </is>
      </c>
      <c r="B104" s="29" t="inlineStr">
        <is>
          <t>Lácteos y huevos</t>
        </is>
      </c>
      <c r="C104" s="30" t="inlineStr">
        <is>
          <t>ud</t>
        </is>
      </c>
      <c r="D104" s="31" t="inlineStr">
        <is>
          <t>M: 0.4 kg
Co: 4 x 100 Gr</t>
        </is>
      </c>
      <c r="E104" s="32" t="n">
        <v>1.6</v>
      </c>
      <c r="F104" s="32" t="n"/>
      <c r="G104" s="32" t="n">
        <v>1.55</v>
      </c>
      <c r="H104" s="32" t="n"/>
      <c r="I104" s="32" t="n">
        <v>1.6</v>
      </c>
      <c r="J104" s="28">
        <f>IF(COUNT(E104:I104)=0,"",IF(COUNT(E104:I104)=1,"Solo dato",IF(E104=MIN(E104:I104),E$1,IF(F104=MIN(E104:I104),F$1,IF(G104=MIN(E104:I104),G$1,IF(H104=MIN(E104:I104),H$1,IF(I104=MIN(E104:I104),I$1,"")))))))</f>
        <v/>
      </c>
      <c r="K104" s="31" t="inlineStr">
        <is>
          <t>Fuentes y productos en notas de precios. M: fuente indirecta.</t>
        </is>
      </c>
    </row>
    <row r="105" ht="34" customHeight="1" s="17">
      <c r="A105" s="29" t="inlineStr">
        <is>
          <t>Huevos</t>
        </is>
      </c>
      <c r="B105" s="29" t="inlineStr">
        <is>
          <t>Lácteos y huevos</t>
        </is>
      </c>
      <c r="C105" s="30" t="inlineStr">
        <is>
          <t>ud</t>
        </is>
      </c>
      <c r="D105" s="31" t="inlineStr">
        <is>
          <t>12 huevos L</t>
        </is>
      </c>
      <c r="E105" s="32" t="n">
        <v>3.05</v>
      </c>
      <c r="F105" s="32" t="n"/>
      <c r="G105" s="32" t="n"/>
      <c r="H105" s="32" t="n"/>
      <c r="I105" s="32" t="n">
        <v>3.05</v>
      </c>
      <c r="J105" s="28">
        <f>IF(COUNT(E105:I105)=0,"",IF(COUNT(E105:I105)=1,"Solo dato",IF(E105=MIN(E105:I105),E$1,IF(F105=MIN(E105:I105),F$1,IF(G105=MIN(E105:I105),G$1,IF(H105=MIN(E105:I105),H$1,IF(I105=MIN(E105:I105),I$1,"")))))))</f>
        <v/>
      </c>
      <c r="K105" s="31" t="inlineStr">
        <is>
          <t>Fuentes y productos en notas de precios. M: fuente indirecta.</t>
        </is>
      </c>
    </row>
    <row r="106" ht="53" customHeight="1" s="17">
      <c r="A106" s="29" t="inlineStr">
        <is>
          <t>Kéfir</t>
        </is>
      </c>
      <c r="B106" s="29" t="inlineStr">
        <is>
          <t>Lácteos y huevos</t>
        </is>
      </c>
      <c r="C106" s="30" t="inlineStr">
        <is>
          <t>ud</t>
        </is>
      </c>
      <c r="D106" s="31" t="inlineStr">
        <is>
          <t>M: 0.5 kg
C: 500 g
Co: 500 Gr</t>
        </is>
      </c>
      <c r="E106" s="32" t="n">
        <v>1.1</v>
      </c>
      <c r="F106" s="32" t="n"/>
      <c r="G106" s="32" t="n">
        <v>1.69</v>
      </c>
      <c r="H106" s="32" t="n">
        <v>1.1</v>
      </c>
      <c r="I106" s="32" t="n">
        <v>1</v>
      </c>
      <c r="J106" s="28">
        <f>IF(COUNT(E106:I106)=0,"",IF(COUNT(E106:I106)=1,"Solo dato",IF(E106=MIN(E106:I106),E$1,IF(F106=MIN(E106:I106),F$1,IF(G106=MIN(E106:I106),G$1,IF(H106=MIN(E106:I106),H$1,IF(I106=MIN(E106:I106),I$1,"")))))))</f>
        <v/>
      </c>
      <c r="K106" s="31" t="inlineStr">
        <is>
          <t>Fuentes y productos en notas de precios. M: fuente indirecta. Incluye oferta.</t>
        </is>
      </c>
    </row>
    <row r="107" ht="53" customHeight="1" s="17">
      <c r="A107" s="29" t="inlineStr">
        <is>
          <t>Leche desnatada</t>
        </is>
      </c>
      <c r="B107" s="29" t="inlineStr">
        <is>
          <t>Lácteos y huevos</t>
        </is>
      </c>
      <c r="C107" s="30" t="inlineStr">
        <is>
          <t>l</t>
        </is>
      </c>
      <c r="D107" s="31" t="inlineStr">
        <is>
          <t>M: 1 l
C: 1 l
Co: 1 L</t>
        </is>
      </c>
      <c r="E107" s="32" t="n">
        <v>0.8100000000000001</v>
      </c>
      <c r="F107" s="32" t="n"/>
      <c r="G107" s="32" t="n">
        <v>0.82</v>
      </c>
      <c r="H107" s="32" t="n">
        <v>0.82</v>
      </c>
      <c r="I107" s="32" t="n">
        <v>0.82</v>
      </c>
      <c r="J107" s="28">
        <f>IF(COUNT(E107:I107)=0,"",IF(COUNT(E107:I107)=1,"Solo dato",IF(E107=MIN(E107:I107),E$1,IF(F107=MIN(E107:I107),F$1,IF(G107=MIN(E107:I107),G$1,IF(H107=MIN(E107:I107),H$1,IF(I107=MIN(E107:I107),I$1,"")))))))</f>
        <v/>
      </c>
      <c r="K107" s="31" t="inlineStr">
        <is>
          <t>Fuentes y productos en notas de precios. M: fuente indirecta.</t>
        </is>
      </c>
    </row>
    <row r="108" ht="53" customHeight="1" s="17">
      <c r="A108" s="29" t="inlineStr">
        <is>
          <t>Leche entera</t>
        </is>
      </c>
      <c r="B108" s="29" t="inlineStr">
        <is>
          <t>Lácteos y huevos</t>
        </is>
      </c>
      <c r="C108" s="30" t="inlineStr">
        <is>
          <t>l</t>
        </is>
      </c>
      <c r="D108" s="31" t="inlineStr">
        <is>
          <t>M: 1 l
C: 1 l
Co: 1 L</t>
        </is>
      </c>
      <c r="E108" s="32" t="n">
        <v>0.96</v>
      </c>
      <c r="F108" s="32" t="n"/>
      <c r="G108" s="32" t="n">
        <v>0.96</v>
      </c>
      <c r="H108" s="32" t="n">
        <v>0.96</v>
      </c>
      <c r="I108" s="32" t="n">
        <v>1.19</v>
      </c>
      <c r="J108" s="28">
        <f>IF(COUNT(E108:I108)=0,"",IF(COUNT(E108:I108)=1,"Solo dato",IF(E108=MIN(E108:I108),E$1,IF(F108=MIN(E108:I108),F$1,IF(G108=MIN(E108:I108),G$1,IF(H108=MIN(E108:I108),H$1,IF(I108=MIN(E108:I108),I$1,"")))))))</f>
        <v/>
      </c>
      <c r="K108" s="31" t="inlineStr">
        <is>
          <t>Fuentes y productos en notas de precios. M: fuente indirecta.</t>
        </is>
      </c>
    </row>
    <row r="109" ht="53" customHeight="1" s="17">
      <c r="A109" s="29" t="inlineStr">
        <is>
          <t>Leche semidesnatada</t>
        </is>
      </c>
      <c r="B109" s="29" t="inlineStr">
        <is>
          <t>Lácteos y huevos</t>
        </is>
      </c>
      <c r="C109" s="30" t="inlineStr">
        <is>
          <t>l</t>
        </is>
      </c>
      <c r="D109" s="31" t="inlineStr">
        <is>
          <t>M: 1 l
C: 1 l
Co: 1 L</t>
        </is>
      </c>
      <c r="E109" s="32" t="n">
        <v>0.83</v>
      </c>
      <c r="F109" s="32" t="n"/>
      <c r="G109" s="32" t="n"/>
      <c r="H109" s="32" t="n">
        <v>0.84</v>
      </c>
      <c r="I109" s="32" t="n">
        <v>0.84</v>
      </c>
      <c r="J109" s="28">
        <f>IF(COUNT(E109:I109)=0,"",IF(COUNT(E109:I109)=1,"Solo dato",IF(E109=MIN(E109:I109),E$1,IF(F109=MIN(E109:I109),F$1,IF(G109=MIN(E109:I109),G$1,IF(H109=MIN(E109:I109),H$1,IF(I109=MIN(E109:I109),I$1,"")))))))</f>
        <v/>
      </c>
      <c r="K109" s="31" t="inlineStr">
        <is>
          <t>Fuentes y productos en notas de precios. M: fuente indirecta.</t>
        </is>
      </c>
    </row>
    <row r="110" ht="38" customHeight="1" s="17">
      <c r="A110" s="29" t="inlineStr">
        <is>
          <t>Mantequilla</t>
        </is>
      </c>
      <c r="B110" s="29" t="inlineStr">
        <is>
          <t>Lácteos y huevos</t>
        </is>
      </c>
      <c r="C110" s="30" t="inlineStr">
        <is>
          <t>ud</t>
        </is>
      </c>
      <c r="D110" s="31" t="inlineStr">
        <is>
          <t>C: 250 g
Co: 250 Gr</t>
        </is>
      </c>
      <c r="E110" s="32" t="n"/>
      <c r="F110" s="32" t="n"/>
      <c r="G110" s="32" t="n">
        <v>3.39</v>
      </c>
      <c r="H110" s="32" t="n">
        <v>2.05</v>
      </c>
      <c r="I110" s="32" t="n">
        <v>2.05</v>
      </c>
      <c r="J110" s="28">
        <f>IF(COUNT(E110:I110)=0,"",IF(COUNT(E110:I110)=1,"Solo dato",IF(E110=MIN(E110:I110),E$1,IF(F110=MIN(E110:I110),F$1,IF(G110=MIN(E110:I110),G$1,IF(H110=MIN(E110:I110),H$1,IF(I110=MIN(E110:I110),I$1,"")))))))</f>
        <v/>
      </c>
      <c r="K110" s="31" t="inlineStr">
        <is>
          <t>Fuentes y productos en notas de precios.</t>
        </is>
      </c>
    </row>
    <row r="111" ht="38" customHeight="1" s="17">
      <c r="A111" s="29" t="inlineStr">
        <is>
          <t>Nata para cocinar</t>
        </is>
      </c>
      <c r="B111" s="29" t="inlineStr">
        <is>
          <t>Lácteos y huevos</t>
        </is>
      </c>
      <c r="C111" s="30" t="inlineStr">
        <is>
          <t>ud</t>
        </is>
      </c>
      <c r="D111" s="31" t="inlineStr">
        <is>
          <t>M: 0.5 l
Co: 500 ml</t>
        </is>
      </c>
      <c r="E111" s="32" t="n">
        <v>1.55</v>
      </c>
      <c r="F111" s="32" t="n"/>
      <c r="G111" s="32" t="n"/>
      <c r="H111" s="32" t="n"/>
      <c r="I111" s="32" t="n">
        <v>1.55</v>
      </c>
      <c r="J111" s="28">
        <f>IF(COUNT(E111:I111)=0,"",IF(COUNT(E111:I111)=1,"Solo dato",IF(E111=MIN(E111:I111),E$1,IF(F111=MIN(E111:I111),F$1,IF(G111=MIN(E111:I111),G$1,IF(H111=MIN(E111:I111),H$1,IF(I111=MIN(E111:I111),I$1,"")))))))</f>
        <v/>
      </c>
      <c r="K111" s="31" t="inlineStr">
        <is>
          <t>Fuentes y productos en notas de precios. M: fuente indirecta.</t>
        </is>
      </c>
    </row>
    <row r="112" ht="38" customHeight="1" s="17">
      <c r="A112" s="29" t="inlineStr">
        <is>
          <t>Nata para montar</t>
        </is>
      </c>
      <c r="B112" s="29" t="inlineStr">
        <is>
          <t>Lácteos y huevos</t>
        </is>
      </c>
      <c r="C112" s="30" t="inlineStr">
        <is>
          <t>ud</t>
        </is>
      </c>
      <c r="D112" s="31" t="inlineStr">
        <is>
          <t>C: 200 ml
Co: 500 ml</t>
        </is>
      </c>
      <c r="E112" s="32" t="n"/>
      <c r="F112" s="32" t="n"/>
      <c r="G112" s="32" t="n"/>
      <c r="H112" s="32" t="n">
        <v>2.25</v>
      </c>
      <c r="I112" s="32" t="n">
        <v>1.95</v>
      </c>
      <c r="J112" s="28">
        <f>IF(COUNT(E112:I112)=0,"",IF(COUNT(E112:I112)=1,"Solo dato","Ver formatos"))</f>
        <v/>
      </c>
      <c r="K112" s="31" t="inlineStr">
        <is>
          <t>Fuentes y productos en notas de precios.</t>
        </is>
      </c>
    </row>
    <row r="113" ht="38" customHeight="1" s="17">
      <c r="A113" s="29" t="inlineStr">
        <is>
          <t>Natillas</t>
        </is>
      </c>
      <c r="B113" s="29" t="inlineStr">
        <is>
          <t>Lácteos y huevos</t>
        </is>
      </c>
      <c r="C113" s="30" t="inlineStr">
        <is>
          <t>ud</t>
        </is>
      </c>
      <c r="D113" s="31" t="inlineStr">
        <is>
          <t>M: 0.5 kg
Co: 70 Gr</t>
        </is>
      </c>
      <c r="E113" s="32" t="n">
        <v>1.05</v>
      </c>
      <c r="F113" s="32" t="n"/>
      <c r="G113" s="32" t="n">
        <v>0.99</v>
      </c>
      <c r="H113" s="32" t="n"/>
      <c r="I113" s="32" t="n">
        <v>1.19</v>
      </c>
      <c r="J113" s="28">
        <f>IF(COUNT(E113:I113)=0,"",IF(COUNT(E113:I113)=1,"Solo dato","Ver formatos"))</f>
        <v/>
      </c>
      <c r="K113" s="31" t="inlineStr">
        <is>
          <t>Fuentes y productos en notas de precios. M: fuente indirecta.</t>
        </is>
      </c>
    </row>
    <row r="114" ht="38" customHeight="1" s="17">
      <c r="A114" s="29" t="inlineStr">
        <is>
          <t>Petit suisse</t>
        </is>
      </c>
      <c r="B114" s="29" t="inlineStr">
        <is>
          <t>Lácteos y huevos</t>
        </is>
      </c>
      <c r="C114" s="30" t="inlineStr">
        <is>
          <t>ud</t>
        </is>
      </c>
      <c r="D114" s="31" t="inlineStr">
        <is>
          <t>M: 0.72 kg
Co: 6 x 50 Gr</t>
        </is>
      </c>
      <c r="E114" s="32" t="n">
        <v>1.7</v>
      </c>
      <c r="F114" s="32" t="n"/>
      <c r="G114" s="32" t="n">
        <v>1.65</v>
      </c>
      <c r="H114" s="32" t="n"/>
      <c r="I114" s="32" t="n">
        <v>1.69</v>
      </c>
      <c r="J114" s="28">
        <f>IF(COUNT(E114:I114)=0,"",IF(COUNT(E114:I114)=1,"Solo dato","Ver formatos"))</f>
        <v/>
      </c>
      <c r="K114" s="31" t="inlineStr">
        <is>
          <t>Fuentes y productos en notas de precios. M: fuente indirecta. Incluye oferta.</t>
        </is>
      </c>
    </row>
    <row r="115" ht="53" customHeight="1" s="17">
      <c r="A115" s="29" t="inlineStr">
        <is>
          <t>Yogur griego</t>
        </is>
      </c>
      <c r="B115" s="29" t="inlineStr">
        <is>
          <t>Lácteos y huevos</t>
        </is>
      </c>
      <c r="C115" s="30" t="inlineStr">
        <is>
          <t>ud</t>
        </is>
      </c>
      <c r="D115" s="31" t="inlineStr">
        <is>
          <t>M: 0.75 kg
C: 125 g
Co: 1 Kg</t>
        </is>
      </c>
      <c r="E115" s="32" t="n">
        <v>1.45</v>
      </c>
      <c r="F115" s="32" t="n"/>
      <c r="G115" s="32" t="n">
        <v>1.39</v>
      </c>
      <c r="H115" s="32" t="n">
        <v>1.44</v>
      </c>
      <c r="I115" s="32" t="n">
        <v>2.1</v>
      </c>
      <c r="J115" s="28">
        <f>IF(COUNT(E115:I115)=0,"",IF(COUNT(E115:I115)=1,"Solo dato","Ver formatos"))</f>
        <v/>
      </c>
      <c r="K115" s="31" t="inlineStr">
        <is>
          <t>Fuentes y productos en notas de precios. M: fuente indirecta.</t>
        </is>
      </c>
    </row>
    <row r="116" ht="53" customHeight="1" s="17">
      <c r="A116" s="29" t="inlineStr">
        <is>
          <t>Yogur natural</t>
        </is>
      </c>
      <c r="B116" s="29" t="inlineStr">
        <is>
          <t>Lácteos y huevos</t>
        </is>
      </c>
      <c r="C116" s="30" t="inlineStr">
        <is>
          <t>ud</t>
        </is>
      </c>
      <c r="D116" s="31" t="inlineStr">
        <is>
          <t>M: 0.75 kg
C: 125 g
Co: 4 x 125 Gr</t>
        </is>
      </c>
      <c r="E116" s="32" t="n">
        <v>1</v>
      </c>
      <c r="F116" s="32" t="n"/>
      <c r="G116" s="32" t="n">
        <v>1.29</v>
      </c>
      <c r="H116" s="32" t="n">
        <v>1.4</v>
      </c>
      <c r="I116" s="32" t="n">
        <v>0.75</v>
      </c>
      <c r="J116" s="28">
        <f>IF(COUNT(E116:I116)=0,"",IF(COUNT(E116:I116)=1,"Solo dato","Ver formatos"))</f>
        <v/>
      </c>
      <c r="K116" s="31" t="inlineStr">
        <is>
          <t>Fuentes y productos en notas de precios. M: fuente indirecta.</t>
        </is>
      </c>
    </row>
    <row r="117" ht="53" customHeight="1" s="17">
      <c r="A117" s="29" t="inlineStr">
        <is>
          <t>Yogures de sabores</t>
        </is>
      </c>
      <c r="B117" s="29" t="inlineStr">
        <is>
          <t>Lácteos y huevos</t>
        </is>
      </c>
      <c r="C117" s="30" t="inlineStr">
        <is>
          <t>ud</t>
        </is>
      </c>
      <c r="D117" s="31" t="inlineStr">
        <is>
          <t>M: 0.5 kg
C: 120 g
Co: 4 x 125 Gr</t>
        </is>
      </c>
      <c r="E117" s="32" t="n">
        <v>0.75</v>
      </c>
      <c r="F117" s="32" t="n"/>
      <c r="G117" s="32" t="n">
        <v>1.72</v>
      </c>
      <c r="H117" s="32" t="n">
        <v>0.99</v>
      </c>
      <c r="I117" s="32" t="n">
        <v>0.75</v>
      </c>
      <c r="J117" s="28">
        <f>IF(COUNT(E117:I117)=0,"",IF(COUNT(E117:I117)=1,"Solo dato","Ver formatos"))</f>
        <v/>
      </c>
      <c r="K117" s="31" t="inlineStr">
        <is>
          <t>Fuentes y productos en notas de precios. M: fuente indirecta.</t>
        </is>
      </c>
    </row>
    <row r="118" ht="15" customHeight="1" s="17">
      <c r="A118" s="29" t="inlineStr">
        <is>
          <t>Biscotes</t>
        </is>
      </c>
      <c r="B118" s="29" t="inlineStr">
        <is>
          <t>Panadería</t>
        </is>
      </c>
      <c r="C118" s="30" t="inlineStr">
        <is>
          <t>ud</t>
        </is>
      </c>
      <c r="D118" s="31" t="n"/>
      <c r="E118" s="32" t="n"/>
      <c r="F118" s="32" t="n"/>
      <c r="G118" s="32" t="n">
        <v>1.62</v>
      </c>
      <c r="H118" s="32" t="n"/>
      <c r="I118" s="32" t="n"/>
      <c r="J118" s="28">
        <f>IF(COUNT(E118:I118)=0,"",INDEX($E$1:$I$1,MATCH(MIN(E118:I118),E118:I118,0)))</f>
        <v/>
      </c>
      <c r="K118" s="31" t="n"/>
    </row>
    <row r="119" ht="34" customHeight="1" s="17">
      <c r="A119" s="29" t="inlineStr">
        <is>
          <t>Bizcocho</t>
        </is>
      </c>
      <c r="B119" s="29" t="inlineStr">
        <is>
          <t>Panadería</t>
        </is>
      </c>
      <c r="C119" s="30" t="inlineStr">
        <is>
          <t>ud</t>
        </is>
      </c>
      <c r="D119" s="31" t="inlineStr">
        <is>
          <t>0.8 kg</t>
        </is>
      </c>
      <c r="E119" s="32" t="n">
        <v>3.5</v>
      </c>
      <c r="F119" s="32" t="n"/>
      <c r="G119" s="32" t="n">
        <v>2.35</v>
      </c>
      <c r="H119" s="32" t="n"/>
      <c r="I119" s="32" t="n"/>
      <c r="J119" s="28">
        <f>IF(COUNT(E119:I119)=0,"",IF(COUNT(E119:I119)=1,"Solo dato","Ver formatos"))</f>
        <v/>
      </c>
      <c r="K119" s="31" t="inlineStr">
        <is>
          <t>Fuentes y productos en notas de precios. M: fuente indirecta.</t>
        </is>
      </c>
    </row>
    <row r="120" ht="34" customHeight="1" s="17">
      <c r="A120" s="29" t="inlineStr">
        <is>
          <t>Croissants</t>
        </is>
      </c>
      <c r="B120" s="29" t="inlineStr">
        <is>
          <t>Panadería</t>
        </is>
      </c>
      <c r="C120" s="30" t="inlineStr">
        <is>
          <t>ud</t>
        </is>
      </c>
      <c r="D120" s="31" t="inlineStr">
        <is>
          <t>0.43 kg</t>
        </is>
      </c>
      <c r="E120" s="32" t="n">
        <v>1.85</v>
      </c>
      <c r="F120" s="32" t="n"/>
      <c r="G120" s="32" t="n">
        <v>1.45</v>
      </c>
      <c r="H120" s="32" t="n"/>
      <c r="I120" s="32" t="n"/>
      <c r="J120" s="28">
        <f>IF(COUNT(E120:I120)=0,"",IF(COUNT(E120:I120)=1,"Solo dato","Ver formatos"))</f>
        <v/>
      </c>
      <c r="K120" s="31" t="inlineStr">
        <is>
          <t>Fuentes y productos en notas de precios. M: fuente indirecta.</t>
        </is>
      </c>
    </row>
    <row r="121" ht="34" customHeight="1" s="17">
      <c r="A121" s="29" t="inlineStr">
        <is>
          <t>Magdalenas</t>
        </is>
      </c>
      <c r="B121" s="29" t="inlineStr">
        <is>
          <t>Panadería</t>
        </is>
      </c>
      <c r="C121" s="30" t="inlineStr">
        <is>
          <t>ud</t>
        </is>
      </c>
      <c r="D121" s="31" t="inlineStr">
        <is>
          <t>0.55 kg</t>
        </is>
      </c>
      <c r="E121" s="32" t="n">
        <v>2</v>
      </c>
      <c r="F121" s="32" t="n"/>
      <c r="G121" s="32" t="n">
        <v>2.39</v>
      </c>
      <c r="H121" s="32" t="n"/>
      <c r="I121" s="32" t="n"/>
      <c r="J121" s="28">
        <f>IF(COUNT(E121:I121)=0,"",IF(COUNT(E121:I121)=1,"Solo dato","Ver formatos"))</f>
        <v/>
      </c>
      <c r="K121" s="31" t="inlineStr">
        <is>
          <t>Fuentes y productos en notas de precios. M: fuente indirecta.</t>
        </is>
      </c>
    </row>
    <row r="122" ht="34" customHeight="1" s="17">
      <c r="A122" s="29" t="inlineStr">
        <is>
          <t>Pan de barra</t>
        </is>
      </c>
      <c r="B122" s="29" t="inlineStr">
        <is>
          <t>Panadería</t>
        </is>
      </c>
      <c r="C122" s="30" t="inlineStr">
        <is>
          <t>ud</t>
        </is>
      </c>
      <c r="D122" s="31" t="inlineStr">
        <is>
          <t>0.25 kg</t>
        </is>
      </c>
      <c r="E122" s="32" t="n">
        <v>0.5</v>
      </c>
      <c r="F122" s="32" t="n"/>
      <c r="G122" s="32" t="n"/>
      <c r="H122" s="32" t="n"/>
      <c r="I122" s="32" t="n"/>
      <c r="J122" s="28">
        <f>IF(COUNT(E122:I122)=0,"",IF(COUNT(E122:I122)=1,"Solo dato","Ver formatos"))</f>
        <v/>
      </c>
      <c r="K122" s="31" t="inlineStr">
        <is>
          <t>Fuentes y productos en notas de precios. M: fuente indirecta.</t>
        </is>
      </c>
    </row>
    <row r="123" ht="38" customHeight="1" s="17">
      <c r="A123" s="29" t="inlineStr">
        <is>
          <t>Pan de hamburguesa</t>
        </is>
      </c>
      <c r="B123" s="29" t="inlineStr">
        <is>
          <t>Panadería</t>
        </is>
      </c>
      <c r="C123" s="30" t="inlineStr">
        <is>
          <t>ud</t>
        </is>
      </c>
      <c r="D123" s="31" t="inlineStr">
        <is>
          <t>M: 0.3 kg
A: 340 g</t>
        </is>
      </c>
      <c r="E123" s="32" t="n">
        <v>0.85</v>
      </c>
      <c r="F123" s="32" t="n"/>
      <c r="G123" s="32" t="n">
        <v>0.79</v>
      </c>
      <c r="H123" s="32" t="n"/>
      <c r="I123" s="32" t="n"/>
      <c r="J123" s="28">
        <f>IF(COUNT(E123:I123)=0,"",IF(COUNT(E123:I123)=1,"Solo dato","Ver formatos"))</f>
        <v/>
      </c>
      <c r="K123" s="31" t="inlineStr">
        <is>
          <t>Fuentes y productos en notas de precios. M: fuente indirecta. Incluye oferta.</t>
        </is>
      </c>
    </row>
    <row r="124" ht="34" customHeight="1" s="17">
      <c r="A124" s="29" t="inlineStr">
        <is>
          <t>Pan de molde</t>
        </is>
      </c>
      <c r="B124" s="29" t="inlineStr">
        <is>
          <t>Panadería</t>
        </is>
      </c>
      <c r="C124" s="30" t="inlineStr">
        <is>
          <t>ud</t>
        </is>
      </c>
      <c r="D124" s="31" t="inlineStr">
        <is>
          <t>0.46 kg</t>
        </is>
      </c>
      <c r="E124" s="32" t="n">
        <v>0.8</v>
      </c>
      <c r="F124" s="32" t="n"/>
      <c r="G124" s="32" t="n">
        <v>1.09</v>
      </c>
      <c r="H124" s="32" t="n"/>
      <c r="I124" s="32" t="n"/>
      <c r="J124" s="28">
        <f>IF(COUNT(E124:I124)=0,"",IF(COUNT(E124:I124)=1,"Solo dato","Ver formatos"))</f>
        <v/>
      </c>
      <c r="K124" s="31" t="inlineStr">
        <is>
          <t>Fuentes y productos en notas de precios. M: fuente indirecta.</t>
        </is>
      </c>
    </row>
    <row r="125" ht="15" customHeight="1" s="17">
      <c r="A125" s="29" t="inlineStr">
        <is>
          <t>Pan de perrito</t>
        </is>
      </c>
      <c r="B125" s="29" t="inlineStr">
        <is>
          <t>Panadería</t>
        </is>
      </c>
      <c r="C125" s="30" t="inlineStr">
        <is>
          <t>ud</t>
        </is>
      </c>
      <c r="D125" s="31" t="n"/>
      <c r="E125" s="32" t="n"/>
      <c r="F125" s="32" t="n"/>
      <c r="G125" s="32" t="n"/>
      <c r="H125" s="32" t="n"/>
      <c r="I125" s="32" t="n"/>
      <c r="J125" s="28">
        <f>IF(COUNT(E125:I125)=0,"",INDEX($E$1:$I$1,MATCH(MIN(E125:I125),E125:I125,0)))</f>
        <v/>
      </c>
      <c r="K125" s="31" t="n"/>
    </row>
    <row r="126" ht="34" customHeight="1" s="17">
      <c r="A126" s="29" t="inlineStr">
        <is>
          <t>Pan integral</t>
        </is>
      </c>
      <c r="B126" s="29" t="inlineStr">
        <is>
          <t>Panadería</t>
        </is>
      </c>
      <c r="C126" s="30" t="inlineStr">
        <is>
          <t>ud</t>
        </is>
      </c>
      <c r="D126" s="31" t="inlineStr">
        <is>
          <t>0.23 kg</t>
        </is>
      </c>
      <c r="E126" s="32" t="n">
        <v>0.9</v>
      </c>
      <c r="F126" s="32" t="n"/>
      <c r="G126" s="32" t="n">
        <v>1.12</v>
      </c>
      <c r="H126" s="32" t="n"/>
      <c r="I126" s="32" t="n"/>
      <c r="J126" s="28">
        <f>IF(COUNT(E126:I126)=0,"",IF(COUNT(E126:I126)=1,"Solo dato","Ver formatos"))</f>
        <v/>
      </c>
      <c r="K126" s="31" t="inlineStr">
        <is>
          <t>Fuentes y productos en notas de precios. M: fuente indirecta.</t>
        </is>
      </c>
    </row>
    <row r="127" ht="34" customHeight="1" s="17">
      <c r="A127" s="29" t="inlineStr">
        <is>
          <t>Pan tostado</t>
        </is>
      </c>
      <c r="B127" s="29" t="inlineStr">
        <is>
          <t>Panadería</t>
        </is>
      </c>
      <c r="C127" s="30" t="inlineStr">
        <is>
          <t>ud</t>
        </is>
      </c>
      <c r="D127" s="31" t="inlineStr">
        <is>
          <t>0.55 kg</t>
        </is>
      </c>
      <c r="E127" s="32" t="n">
        <v>1.7</v>
      </c>
      <c r="F127" s="32" t="n"/>
      <c r="G127" s="32" t="n"/>
      <c r="H127" s="32" t="n"/>
      <c r="I127" s="32" t="n"/>
      <c r="J127" s="28">
        <f>IF(COUNT(E127:I127)=0,"",IF(COUNT(E127:I127)=1,"Solo dato","Ver formatos"))</f>
        <v/>
      </c>
      <c r="K127" s="31" t="inlineStr">
        <is>
          <t>Fuentes y productos en notas de precios. M: fuente indirecta.</t>
        </is>
      </c>
    </row>
    <row r="128" ht="34" customHeight="1" s="17">
      <c r="A128" s="29" t="inlineStr">
        <is>
          <t>Picos</t>
        </is>
      </c>
      <c r="B128" s="29" t="inlineStr">
        <is>
          <t>Panadería</t>
        </is>
      </c>
      <c r="C128" s="30" t="inlineStr">
        <is>
          <t>ud</t>
        </is>
      </c>
      <c r="D128" s="31" t="inlineStr">
        <is>
          <t>0.25 kg</t>
        </is>
      </c>
      <c r="E128" s="32" t="n">
        <v>0.8</v>
      </c>
      <c r="F128" s="32" t="n"/>
      <c r="G128" s="32" t="n">
        <v>0.6899999999999999</v>
      </c>
      <c r="H128" s="32" t="n"/>
      <c r="I128" s="32" t="n"/>
      <c r="J128" s="28">
        <f>IF(COUNT(E128:I128)=0,"",IF(COUNT(E128:I128)=1,"Solo dato","Ver formatos"))</f>
        <v/>
      </c>
      <c r="K128" s="31" t="inlineStr">
        <is>
          <t>Fuentes y productos en notas de precios. M: fuente indirecta.</t>
        </is>
      </c>
    </row>
    <row r="129" ht="34" customHeight="1" s="17">
      <c r="A129" s="29" t="inlineStr">
        <is>
          <t>Tortillas de trigo</t>
        </is>
      </c>
      <c r="B129" s="29" t="inlineStr">
        <is>
          <t>Panadería</t>
        </is>
      </c>
      <c r="C129" s="30" t="inlineStr">
        <is>
          <t>ud</t>
        </is>
      </c>
      <c r="D129" s="31" t="inlineStr">
        <is>
          <t>0.36 kg</t>
        </is>
      </c>
      <c r="E129" s="32" t="n">
        <v>1.15</v>
      </c>
      <c r="F129" s="32" t="n"/>
      <c r="G129" s="32" t="n">
        <v>0.89</v>
      </c>
      <c r="H129" s="32" t="n"/>
      <c r="I129" s="32" t="n"/>
      <c r="J129" s="28">
        <f>IF(COUNT(E129:I129)=0,"",IF(COUNT(E129:I129)=1,"Solo dato","Ver formatos"))</f>
        <v/>
      </c>
      <c r="K129" s="31" t="inlineStr">
        <is>
          <t>Fuentes y productos en notas de precios. M: fuente indirecta.</t>
        </is>
      </c>
    </row>
    <row r="130" ht="38" customHeight="1" s="17">
      <c r="A130" s="29" t="inlineStr">
        <is>
          <t>Alubias</t>
        </is>
      </c>
      <c r="B130" s="29" t="inlineStr">
        <is>
          <t>Pasta, arroz y legumbres</t>
        </is>
      </c>
      <c r="C130" s="30" t="inlineStr">
        <is>
          <t>ud</t>
        </is>
      </c>
      <c r="D130" s="31" t="inlineStr">
        <is>
          <t>Co: 500 Gr
M: 1 kg</t>
        </is>
      </c>
      <c r="E130" s="32" t="n">
        <v>3</v>
      </c>
      <c r="F130" s="32" t="n"/>
      <c r="G130" s="32" t="n">
        <v>2.39</v>
      </c>
      <c r="H130" s="32" t="n"/>
      <c r="I130" s="32" t="n">
        <v>2.05</v>
      </c>
      <c r="J130" s="28">
        <f>IF(COUNT(E130:I130)=0,"",IF(COUNT(E130:I130)=1,"Solo dato","Ver formatos"))</f>
        <v/>
      </c>
      <c r="K130" s="31" t="inlineStr">
        <is>
          <t>Fuentes y productos en notas de precios. M: fuente indirecta.</t>
        </is>
      </c>
    </row>
    <row r="131" ht="38" customHeight="1" s="17">
      <c r="A131" s="29" t="inlineStr">
        <is>
          <t>Arroz basmati</t>
        </is>
      </c>
      <c r="B131" s="29" t="inlineStr">
        <is>
          <t>Pasta, arroz y legumbres</t>
        </is>
      </c>
      <c r="C131" s="30" t="inlineStr">
        <is>
          <t>ud</t>
        </is>
      </c>
      <c r="D131" s="31" t="inlineStr">
        <is>
          <t>M: 1 kg
Co: 1 Kg</t>
        </is>
      </c>
      <c r="E131" s="32" t="n">
        <v>2.1</v>
      </c>
      <c r="F131" s="32" t="n"/>
      <c r="G131" s="32" t="n">
        <v>1.89</v>
      </c>
      <c r="H131" s="32" t="n"/>
      <c r="I131" s="32" t="n">
        <v>2.1</v>
      </c>
      <c r="J131" s="28">
        <f>IF(COUNT(E131:I131)=0,"",IF(COUNT(E131:I131)=1,"Solo dato",IF(E131=MIN(E131:I131),E$1,IF(F131=MIN(E131:I131),F$1,IF(G131=MIN(E131:I131),G$1,IF(H131=MIN(E131:I131),H$1,IF(I131=MIN(E131:I131),I$1,"")))))))</f>
        <v/>
      </c>
      <c r="K131" s="31" t="inlineStr">
        <is>
          <t>Fuentes y productos en notas de precios. M: fuente indirecta.</t>
        </is>
      </c>
    </row>
    <row r="132" ht="53" customHeight="1" s="17">
      <c r="A132" s="29" t="inlineStr">
        <is>
          <t>Arroz largo</t>
        </is>
      </c>
      <c r="B132" s="29" t="inlineStr">
        <is>
          <t>Pasta, arroz y legumbres</t>
        </is>
      </c>
      <c r="C132" s="30" t="inlineStr">
        <is>
          <t>kg</t>
        </is>
      </c>
      <c r="D132" s="31" t="inlineStr">
        <is>
          <t>M: 1 kg
C: 1 kg
Co: 1 Kg</t>
        </is>
      </c>
      <c r="E132" s="32" t="n">
        <v>1.2</v>
      </c>
      <c r="F132" s="32" t="n"/>
      <c r="G132" s="32" t="n">
        <v>1.35</v>
      </c>
      <c r="H132" s="32" t="n">
        <v>1.25</v>
      </c>
      <c r="I132" s="32" t="n">
        <v>1.2</v>
      </c>
      <c r="J132" s="28">
        <f>IF(COUNT(E132:I132)=0,"",IF(COUNT(E132:I132)=1,"Solo dato",IF(E132=MIN(E132:I132),E$1,IF(F132=MIN(E132:I132),F$1,IF(G132=MIN(E132:I132),G$1,IF(H132=MIN(E132:I132),H$1,IF(I132=MIN(E132:I132),I$1,"")))))))</f>
        <v/>
      </c>
      <c r="K132" s="31" t="inlineStr">
        <is>
          <t>Fuentes y productos en notas de precios. M: fuente indirecta.</t>
        </is>
      </c>
    </row>
    <row r="133" ht="38" customHeight="1" s="17">
      <c r="A133" s="29" t="inlineStr">
        <is>
          <t>Arroz redondo</t>
        </is>
      </c>
      <c r="B133" s="29" t="inlineStr">
        <is>
          <t>Pasta, arroz y legumbres</t>
        </is>
      </c>
      <c r="C133" s="30" t="inlineStr">
        <is>
          <t>kg</t>
        </is>
      </c>
      <c r="D133" s="31" t="inlineStr">
        <is>
          <t>M: 1 kg
Co: 1 Kg</t>
        </is>
      </c>
      <c r="E133" s="32" t="n">
        <v>1.15</v>
      </c>
      <c r="F133" s="32" t="n"/>
      <c r="G133" s="32" t="n"/>
      <c r="H133" s="32" t="n"/>
      <c r="I133" s="32" t="n">
        <v>1.15</v>
      </c>
      <c r="J133" s="28">
        <f>IF(COUNT(E133:I133)=0,"",IF(COUNT(E133:I133)=1,"Solo dato",IF(E133=MIN(E133:I133),E$1,IF(F133=MIN(E133:I133),F$1,IF(G133=MIN(E133:I133),G$1,IF(H133=MIN(E133:I133),H$1,IF(I133=MIN(E133:I133),I$1,"")))))))</f>
        <v/>
      </c>
      <c r="K133" s="31" t="inlineStr">
        <is>
          <t>Fuentes y productos en notas de precios. M: fuente indirecta.</t>
        </is>
      </c>
    </row>
    <row r="134" ht="34" customHeight="1" s="17">
      <c r="A134" s="29" t="inlineStr">
        <is>
          <t>Caldo de pollo</t>
        </is>
      </c>
      <c r="B134" s="29" t="inlineStr">
        <is>
          <t>Pasta, arroz y legumbres</t>
        </is>
      </c>
      <c r="C134" s="30" t="inlineStr">
        <is>
          <t>l</t>
        </is>
      </c>
      <c r="D134" s="31" t="inlineStr">
        <is>
          <t>1 l</t>
        </is>
      </c>
      <c r="E134" s="32" t="n">
        <v>0.75</v>
      </c>
      <c r="F134" s="32" t="n"/>
      <c r="G134" s="32" t="n"/>
      <c r="H134" s="32" t="n">
        <v>0.75</v>
      </c>
      <c r="I134" s="32" t="n"/>
      <c r="J134" s="28">
        <f>IF(COUNT(E134:I134)=0,"",IF(COUNT(E134:I134)=1,"Solo dato",IF(E134=MIN(E134:I134),E$1,IF(F134=MIN(E134:I134),F$1,IF(G134=MIN(E134:I134),G$1,IF(H134=MIN(E134:I134),H$1,IF(I134=MIN(E134:I134),I$1,"")))))))</f>
        <v/>
      </c>
      <c r="K134" s="31" t="inlineStr">
        <is>
          <t>Fuentes y productos en notas de precios. M: fuente indirecta.</t>
        </is>
      </c>
    </row>
    <row r="135" ht="34" customHeight="1" s="17">
      <c r="A135" s="29" t="inlineStr">
        <is>
          <t>Caldo de verduras</t>
        </is>
      </c>
      <c r="B135" s="29" t="inlineStr">
        <is>
          <t>Pasta, arroz y legumbres</t>
        </is>
      </c>
      <c r="C135" s="30" t="inlineStr">
        <is>
          <t>l</t>
        </is>
      </c>
      <c r="D135" s="31" t="inlineStr">
        <is>
          <t>1 l</t>
        </is>
      </c>
      <c r="E135" s="32" t="n">
        <v>1.8</v>
      </c>
      <c r="F135" s="32" t="n"/>
      <c r="G135" s="32" t="n">
        <v>0.89</v>
      </c>
      <c r="H135" s="32" t="n"/>
      <c r="I135" s="32" t="n"/>
      <c r="J135" s="28">
        <f>IF(COUNT(E135:I135)=0,"",IF(COUNT(E135:I135)=1,"Solo dato",IF(E135=MIN(E135:I135),E$1,IF(F135=MIN(E135:I135),F$1,IF(G135=MIN(E135:I135),G$1,IF(H135=MIN(E135:I135),H$1,IF(I135=MIN(E135:I135),I$1,"")))))))</f>
        <v/>
      </c>
      <c r="K135" s="31" t="inlineStr">
        <is>
          <t>Fuentes y productos en notas de precios. M: fuente indirecta.</t>
        </is>
      </c>
    </row>
    <row r="136" ht="38" customHeight="1" s="17">
      <c r="A136" s="29" t="inlineStr">
        <is>
          <t>Cuscús</t>
        </is>
      </c>
      <c r="B136" s="29" t="inlineStr">
        <is>
          <t>Pasta, arroz y legumbres</t>
        </is>
      </c>
      <c r="C136" s="30" t="inlineStr">
        <is>
          <t>ud</t>
        </is>
      </c>
      <c r="D136" s="31" t="inlineStr">
        <is>
          <t>M: 1 kg
Co: 500 Gr</t>
        </is>
      </c>
      <c r="E136" s="32" t="n">
        <v>1.95</v>
      </c>
      <c r="F136" s="32" t="n"/>
      <c r="G136" s="32" t="n"/>
      <c r="H136" s="32" t="n"/>
      <c r="I136" s="32" t="n">
        <v>2</v>
      </c>
      <c r="J136" s="28">
        <f>IF(COUNT(E136:I136)=0,"",IF(COUNT(E136:I136)=1,"Solo dato","Ver formatos"))</f>
        <v/>
      </c>
      <c r="K136" s="31" t="inlineStr">
        <is>
          <t>Fuentes y productos en notas de precios. M: fuente indirecta.</t>
        </is>
      </c>
    </row>
    <row r="137" ht="53" customHeight="1" s="17">
      <c r="A137" s="29" t="inlineStr">
        <is>
          <t>Espaguetis</t>
        </is>
      </c>
      <c r="B137" s="29" t="inlineStr">
        <is>
          <t>Pasta, arroz y legumbres</t>
        </is>
      </c>
      <c r="C137" s="30" t="inlineStr">
        <is>
          <t>ud</t>
        </is>
      </c>
      <c r="D137" s="31" t="inlineStr">
        <is>
          <t>M: 1 kg
C: 1 kg
Co: 500 Gr</t>
        </is>
      </c>
      <c r="E137" s="32" t="n">
        <v>1.15</v>
      </c>
      <c r="F137" s="32" t="n"/>
      <c r="G137" s="32" t="n">
        <v>1.15</v>
      </c>
      <c r="H137" s="32" t="n">
        <v>1.1</v>
      </c>
      <c r="I137" s="32" t="n">
        <v>0.8</v>
      </c>
      <c r="J137" s="28">
        <f>IF(COUNT(E137:I137)=0,"",IF(COUNT(E137:I137)=1,"Solo dato","Ver formatos"))</f>
        <v/>
      </c>
      <c r="K137" s="31" t="inlineStr">
        <is>
          <t>Fuentes y productos en notas de precios. M: fuente indirecta.</t>
        </is>
      </c>
    </row>
    <row r="138" ht="38" customHeight="1" s="17">
      <c r="A138" s="29" t="inlineStr">
        <is>
          <t>Fideos</t>
        </is>
      </c>
      <c r="B138" s="29" t="inlineStr">
        <is>
          <t>Pasta, arroz y legumbres</t>
        </is>
      </c>
      <c r="C138" s="30" t="inlineStr">
        <is>
          <t>ud</t>
        </is>
      </c>
      <c r="D138" s="31" t="inlineStr">
        <is>
          <t>M: 0.5 kg
Co: 450 Gr</t>
        </is>
      </c>
      <c r="E138" s="32" t="n">
        <v>0.8</v>
      </c>
      <c r="F138" s="32" t="n"/>
      <c r="G138" s="32" t="n"/>
      <c r="H138" s="32" t="n"/>
      <c r="I138" s="32" t="n">
        <v>0.99</v>
      </c>
      <c r="J138" s="28">
        <f>IF(COUNT(E138:I138)=0,"",IF(COUNT(E138:I138)=1,"Solo dato","Ver formatos"))</f>
        <v/>
      </c>
      <c r="K138" s="31" t="inlineStr">
        <is>
          <t>Fuentes y productos en notas de precios. M: fuente indirecta. Incluye oferta.</t>
        </is>
      </c>
    </row>
    <row r="139" ht="53" customHeight="1" s="17">
      <c r="A139" s="29" t="inlineStr">
        <is>
          <t>Garbanzos</t>
        </is>
      </c>
      <c r="B139" s="29" t="inlineStr">
        <is>
          <t>Pasta, arroz y legumbres</t>
        </is>
      </c>
      <c r="C139" s="30" t="inlineStr">
        <is>
          <t>ud</t>
        </is>
      </c>
      <c r="D139" s="31" t="inlineStr">
        <is>
          <t>M: 1 kg
Co: 400 Gr
C: 400 g</t>
        </is>
      </c>
      <c r="E139" s="32" t="n">
        <v>2.15</v>
      </c>
      <c r="F139" s="32" t="n"/>
      <c r="G139" s="32" t="n">
        <v>2.09</v>
      </c>
      <c r="H139" s="32" t="n">
        <v>0.9</v>
      </c>
      <c r="I139" s="32" t="n">
        <v>1.22</v>
      </c>
      <c r="J139" s="28">
        <f>IF(COUNT(E139:I139)=0,"",IF(COUNT(E139:I139)=1,"Solo dato","Ver formatos"))</f>
        <v/>
      </c>
      <c r="K139" s="31" t="inlineStr">
        <is>
          <t>Fuentes y productos en notas de precios. M: fuente indirecta.</t>
        </is>
      </c>
    </row>
    <row r="140" ht="53" customHeight="1" s="17">
      <c r="A140" s="29" t="inlineStr">
        <is>
          <t>Garbanzos cocidos</t>
        </is>
      </c>
      <c r="B140" s="29" t="inlineStr">
        <is>
          <t>Pasta, arroz y legumbres</t>
        </is>
      </c>
      <c r="C140" s="30" t="inlineStr">
        <is>
          <t>ud</t>
        </is>
      </c>
      <c r="D140" s="31" t="inlineStr">
        <is>
          <t>M: 0.57 kg
C: 400 g
Co: 400 Gr</t>
        </is>
      </c>
      <c r="E140" s="32" t="n">
        <v>0.8</v>
      </c>
      <c r="F140" s="32" t="n"/>
      <c r="G140" s="32" t="n">
        <v>0.75</v>
      </c>
      <c r="H140" s="32" t="n">
        <v>1.27</v>
      </c>
      <c r="I140" s="32" t="n">
        <v>0.8</v>
      </c>
      <c r="J140" s="28">
        <f>IF(COUNT(E140:I140)=0,"",IF(COUNT(E140:I140)=1,"Solo dato","Ver formatos"))</f>
        <v/>
      </c>
      <c r="K140" s="31" t="inlineStr">
        <is>
          <t>Fuentes y productos en notas de precios. M: fuente indirecta.</t>
        </is>
      </c>
    </row>
    <row r="141" ht="34" customHeight="1" s="17">
      <c r="A141" s="29" t="inlineStr">
        <is>
          <t>Harina</t>
        </is>
      </c>
      <c r="B141" s="29" t="inlineStr">
        <is>
          <t>Pasta, arroz y legumbres</t>
        </is>
      </c>
      <c r="C141" s="30" t="inlineStr">
        <is>
          <t>kg</t>
        </is>
      </c>
      <c r="D141" s="31" t="inlineStr">
        <is>
          <t>1 kg</t>
        </is>
      </c>
      <c r="E141" s="32" t="n">
        <v>0.72</v>
      </c>
      <c r="F141" s="32" t="n"/>
      <c r="G141" s="32" t="n">
        <v>0.6899999999999999</v>
      </c>
      <c r="H141" s="32" t="n">
        <v>0.72</v>
      </c>
      <c r="I141" s="32" t="n"/>
      <c r="J141" s="28">
        <f>IF(COUNT(E141:I141)=0,"",IF(COUNT(E141:I141)=1,"Solo dato",IF(E141=MIN(E141:I141),E$1,IF(F141=MIN(E141:I141),F$1,IF(G141=MIN(E141:I141),G$1,IF(H141=MIN(E141:I141),H$1,IF(I141=MIN(E141:I141),I$1,"")))))))</f>
        <v/>
      </c>
      <c r="K141" s="31" t="inlineStr">
        <is>
          <t>Fuentes y productos en notas de precios. M: fuente indirecta.</t>
        </is>
      </c>
    </row>
    <row r="142" ht="34" customHeight="1" s="17">
      <c r="A142" s="29" t="inlineStr">
        <is>
          <t>Lasaña (placas)</t>
        </is>
      </c>
      <c r="B142" s="29" t="inlineStr">
        <is>
          <t>Pasta, arroz y legumbres</t>
        </is>
      </c>
      <c r="C142" s="30" t="inlineStr">
        <is>
          <t>ud</t>
        </is>
      </c>
      <c r="D142" s="31" t="inlineStr">
        <is>
          <t>0.2 kg</t>
        </is>
      </c>
      <c r="E142" s="32" t="n">
        <v>1.65</v>
      </c>
      <c r="F142" s="32" t="n"/>
      <c r="G142" s="32" t="n">
        <v>1.29</v>
      </c>
      <c r="H142" s="32" t="n"/>
      <c r="I142" s="32" t="n"/>
      <c r="J142" s="28">
        <f>IF(COUNT(E142:I142)=0,"",IF(COUNT(E142:I142)=1,"Solo dato","Ver formatos"))</f>
        <v/>
      </c>
      <c r="K142" s="31" t="inlineStr">
        <is>
          <t>Fuentes y productos en notas de precios. M: fuente indirecta.</t>
        </is>
      </c>
    </row>
    <row r="143" ht="53" customHeight="1" s="17">
      <c r="A143" s="29" t="inlineStr">
        <is>
          <t>Lentejas</t>
        </is>
      </c>
      <c r="B143" s="29" t="inlineStr">
        <is>
          <t>Pasta, arroz y legumbres</t>
        </is>
      </c>
      <c r="C143" s="30" t="inlineStr">
        <is>
          <t>ud</t>
        </is>
      </c>
      <c r="D143" s="31" t="inlineStr">
        <is>
          <t>M: 1 kg
C: 1 kg
Co: 500 Gr</t>
        </is>
      </c>
      <c r="E143" s="32" t="n">
        <v>1.85</v>
      </c>
      <c r="F143" s="32" t="n"/>
      <c r="G143" s="32" t="n"/>
      <c r="H143" s="32" t="n">
        <v>1.85</v>
      </c>
      <c r="I143" s="32" t="n">
        <v>2.05</v>
      </c>
      <c r="J143" s="28">
        <f>IF(COUNT(E143:I143)=0,"",IF(COUNT(E143:I143)=1,"Solo dato","Ver formatos"))</f>
        <v/>
      </c>
      <c r="K143" s="31" t="inlineStr">
        <is>
          <t>Fuentes y productos en notas de precios. M: fuente indirecta.</t>
        </is>
      </c>
    </row>
    <row r="144" ht="53" customHeight="1" s="17">
      <c r="A144" s="29" t="inlineStr">
        <is>
          <t>Lentejas cocidas</t>
        </is>
      </c>
      <c r="B144" s="29" t="inlineStr">
        <is>
          <t>Pasta, arroz y legumbres</t>
        </is>
      </c>
      <c r="C144" s="30" t="inlineStr">
        <is>
          <t>ud</t>
        </is>
      </c>
      <c r="D144" s="31" t="inlineStr">
        <is>
          <t>M: 0.57 kg
C: 400 g
Co: 400 Gr</t>
        </is>
      </c>
      <c r="E144" s="32" t="n">
        <v>0.9</v>
      </c>
      <c r="F144" s="32" t="n"/>
      <c r="G144" s="32" t="n"/>
      <c r="H144" s="32" t="n">
        <v>0.9</v>
      </c>
      <c r="I144" s="32" t="n">
        <v>0.89</v>
      </c>
      <c r="J144" s="28">
        <f>IF(COUNT(E144:I144)=0,"",IF(COUNT(E144:I144)=1,"Solo dato","Ver formatos"))</f>
        <v/>
      </c>
      <c r="K144" s="31" t="inlineStr">
        <is>
          <t>Fuentes y productos en notas de precios. M: fuente indirecta.</t>
        </is>
      </c>
    </row>
    <row r="145" ht="38" customHeight="1" s="17">
      <c r="A145" s="29" t="inlineStr">
        <is>
          <t>Macarrones</t>
        </is>
      </c>
      <c r="B145" s="29" t="inlineStr">
        <is>
          <t>Pasta, arroz y legumbres</t>
        </is>
      </c>
      <c r="C145" s="30" t="inlineStr">
        <is>
          <t>ud</t>
        </is>
      </c>
      <c r="D145" s="31" t="inlineStr">
        <is>
          <t>C: 1 kg
Co: 500 Gr</t>
        </is>
      </c>
      <c r="E145" s="32" t="n"/>
      <c r="F145" s="32" t="n"/>
      <c r="G145" s="32" t="n">
        <v>0.75</v>
      </c>
      <c r="H145" s="32" t="n">
        <v>1.1</v>
      </c>
      <c r="I145" s="32" t="n">
        <v>0.8</v>
      </c>
      <c r="J145" s="28">
        <f>IF(COUNT(E145:I145)=0,"",IF(COUNT(E145:I145)=1,"Solo dato","Ver formatos"))</f>
        <v/>
      </c>
      <c r="K145" s="31" t="inlineStr">
        <is>
          <t>Fuentes y productos en notas de precios.</t>
        </is>
      </c>
    </row>
    <row r="146" ht="34" customHeight="1" s="17">
      <c r="A146" s="29" t="inlineStr">
        <is>
          <t>Pan rallado</t>
        </is>
      </c>
      <c r="B146" s="29" t="inlineStr">
        <is>
          <t>Pasta, arroz y legumbres</t>
        </is>
      </c>
      <c r="C146" s="30" t="inlineStr">
        <is>
          <t>ud</t>
        </is>
      </c>
      <c r="D146" s="31" t="inlineStr">
        <is>
          <t>0.75 kg</t>
        </is>
      </c>
      <c r="E146" s="32" t="n">
        <v>0.85</v>
      </c>
      <c r="F146" s="32" t="n"/>
      <c r="G146" s="32" t="n">
        <v>0.78</v>
      </c>
      <c r="H146" s="32" t="n"/>
      <c r="I146" s="32" t="n"/>
      <c r="J146" s="28">
        <f>IF(COUNT(E146:I146)=0,"",IF(COUNT(E146:I146)=1,"Solo dato","Ver formatos"))</f>
        <v/>
      </c>
      <c r="K146" s="31" t="inlineStr">
        <is>
          <t>Fuentes y productos en notas de precios. M: fuente indirecta.</t>
        </is>
      </c>
    </row>
    <row r="147" ht="34" customHeight="1" s="17">
      <c r="A147" s="29" t="inlineStr">
        <is>
          <t>Puré de patata</t>
        </is>
      </c>
      <c r="B147" s="29" t="inlineStr">
        <is>
          <t>Pasta, arroz y legumbres</t>
        </is>
      </c>
      <c r="C147" s="30" t="inlineStr">
        <is>
          <t>ud</t>
        </is>
      </c>
      <c r="D147" s="31" t="inlineStr">
        <is>
          <t>0.5 kg</t>
        </is>
      </c>
      <c r="E147" s="32" t="n">
        <v>2</v>
      </c>
      <c r="F147" s="32" t="n"/>
      <c r="G147" s="32" t="n"/>
      <c r="H147" s="32" t="n"/>
      <c r="I147" s="32" t="n"/>
      <c r="J147" s="28">
        <f>IF(COUNT(E147:I147)=0,"",IF(COUNT(E147:I147)=1,"Solo dato","Ver formatos"))</f>
        <v/>
      </c>
      <c r="K147" s="31" t="inlineStr">
        <is>
          <t>Fuentes y productos en notas de precios. M: fuente indirecta.</t>
        </is>
      </c>
    </row>
    <row r="148" ht="34" customHeight="1" s="17">
      <c r="A148" s="29" t="inlineStr">
        <is>
          <t>Quinoa</t>
        </is>
      </c>
      <c r="B148" s="29" t="inlineStr">
        <is>
          <t>Pasta, arroz y legumbres</t>
        </is>
      </c>
      <c r="C148" s="30" t="inlineStr">
        <is>
          <t>ud</t>
        </is>
      </c>
      <c r="D148" s="31" t="inlineStr">
        <is>
          <t>250 Gr</t>
        </is>
      </c>
      <c r="E148" s="32" t="n"/>
      <c r="F148" s="32" t="n"/>
      <c r="G148" s="32" t="n">
        <v>2.15</v>
      </c>
      <c r="H148" s="32" t="n"/>
      <c r="I148" s="32" t="n">
        <v>1.95</v>
      </c>
      <c r="J148" s="28">
        <f>IF(COUNT(E148:I148)=0,"",IF(COUNT(E148:I148)=1,"Solo dato","Ver formatos"))</f>
        <v/>
      </c>
      <c r="K148" s="31" t="inlineStr">
        <is>
          <t>Fuentes y productos en notas de precios.</t>
        </is>
      </c>
    </row>
    <row r="149" ht="34" customHeight="1" s="17">
      <c r="A149" s="29" t="inlineStr">
        <is>
          <t>Sopa de sobre</t>
        </is>
      </c>
      <c r="B149" s="29" t="inlineStr">
        <is>
          <t>Pasta, arroz y legumbres</t>
        </is>
      </c>
      <c r="C149" s="30" t="inlineStr">
        <is>
          <t>ud</t>
        </is>
      </c>
      <c r="D149" s="31" t="inlineStr">
        <is>
          <t>0.072 kg</t>
        </is>
      </c>
      <c r="E149" s="32" t="n">
        <v>0.55</v>
      </c>
      <c r="F149" s="32" t="n"/>
      <c r="G149" s="32" t="n"/>
      <c r="H149" s="32" t="n"/>
      <c r="I149" s="32" t="n"/>
      <c r="J149" s="28">
        <f>IF(COUNT(E149:I149)=0,"",IF(COUNT(E149:I149)=1,"Solo dato","Ver formatos"))</f>
        <v/>
      </c>
      <c r="K149" s="31" t="inlineStr">
        <is>
          <t>Fuentes y productos en notas de precios. M: fuente indirecta.</t>
        </is>
      </c>
    </row>
    <row r="150" ht="38" customHeight="1" s="17">
      <c r="A150" s="29" t="inlineStr">
        <is>
          <t>Tallarines</t>
        </is>
      </c>
      <c r="B150" s="29" t="inlineStr">
        <is>
          <t>Pasta, arroz y legumbres</t>
        </is>
      </c>
      <c r="C150" s="30" t="inlineStr">
        <is>
          <t>ud</t>
        </is>
      </c>
      <c r="D150" s="31" t="inlineStr">
        <is>
          <t>M: 0.5 kg
Co: 500 Gr</t>
        </is>
      </c>
      <c r="E150" s="32" t="n">
        <v>0.8</v>
      </c>
      <c r="F150" s="32" t="n"/>
      <c r="G150" s="32" t="n">
        <v>0.75</v>
      </c>
      <c r="H150" s="32" t="n"/>
      <c r="I150" s="32" t="n">
        <v>0.8</v>
      </c>
      <c r="J150" s="28">
        <f>IF(COUNT(E150:I150)=0,"",IF(COUNT(E150:I150)=1,"Solo dato",IF(E150=MIN(E150:I150),E$1,IF(F150=MIN(E150:I150),F$1,IF(G150=MIN(E150:I150),G$1,IF(H150=MIN(E150:I150),H$1,IF(I150=MIN(E150:I150),I$1,"")))))))</f>
        <v/>
      </c>
      <c r="K150" s="31" t="inlineStr">
        <is>
          <t>Fuentes y productos en notas de precios. M: fuente indirecta.</t>
        </is>
      </c>
    </row>
    <row r="151" ht="53" customHeight="1" s="17">
      <c r="A151" s="29" t="inlineStr">
        <is>
          <t>Aceite de girasol</t>
        </is>
      </c>
      <c r="B151" s="29" t="inlineStr">
        <is>
          <t>Aceites, salsas y especias</t>
        </is>
      </c>
      <c r="C151" s="30" t="inlineStr">
        <is>
          <t>l</t>
        </is>
      </c>
      <c r="D151" s="31" t="inlineStr">
        <is>
          <t>M: 1 l
C: 1 l
Co: 1 L</t>
        </is>
      </c>
      <c r="E151" s="32" t="n">
        <v>1.85</v>
      </c>
      <c r="F151" s="32" t="n"/>
      <c r="G151" s="32" t="n"/>
      <c r="H151" s="32" t="n">
        <v>1.85</v>
      </c>
      <c r="I151" s="32" t="n">
        <v>1.85</v>
      </c>
      <c r="J151" s="28">
        <f>IF(COUNT(E151:I151)=0,"",IF(COUNT(E151:I151)=1,"Solo dato",IF(E151=MIN(E151:I151),E$1,IF(F151=MIN(E151:I151),F$1,IF(G151=MIN(E151:I151),G$1,IF(H151=MIN(E151:I151),H$1,IF(I151=MIN(E151:I151),I$1,"")))))))</f>
        <v/>
      </c>
      <c r="K151" s="31" t="inlineStr">
        <is>
          <t>Fuentes y productos en notas de precios. M: fuente indirecta.</t>
        </is>
      </c>
    </row>
    <row r="152" ht="53" customHeight="1" s="17">
      <c r="A152" s="29" t="inlineStr">
        <is>
          <t>Aceite de oliva</t>
        </is>
      </c>
      <c r="B152" s="29" t="inlineStr">
        <is>
          <t>Aceites, salsas y especias</t>
        </is>
      </c>
      <c r="C152" s="30" t="inlineStr">
        <is>
          <t>l</t>
        </is>
      </c>
      <c r="D152" s="31" t="inlineStr">
        <is>
          <t>M: 1 l
C: 1 l
Co: 1 L</t>
        </is>
      </c>
      <c r="E152" s="32" t="n">
        <v>3.9</v>
      </c>
      <c r="F152" s="32" t="n"/>
      <c r="G152" s="32" t="n">
        <v>3.69</v>
      </c>
      <c r="H152" s="32" t="n">
        <v>5.75</v>
      </c>
      <c r="I152" s="32" t="n">
        <v>3.7</v>
      </c>
      <c r="J152" s="28">
        <f>IF(COUNT(E152:I152)=0,"",IF(COUNT(E152:I152)=1,"Solo dato",IF(E152=MIN(E152:I152),E$1,IF(F152=MIN(E152:I152),F$1,IF(G152=MIN(E152:I152),G$1,IF(H152=MIN(E152:I152),H$1,IF(I152=MIN(E152:I152),I$1,"")))))))</f>
        <v/>
      </c>
      <c r="K152" s="31" t="inlineStr">
        <is>
          <t>Fuentes y productos en notas de precios. M: fuente indirecta.</t>
        </is>
      </c>
    </row>
    <row r="153" ht="53" customHeight="1" s="17">
      <c r="A153" s="29" t="inlineStr">
        <is>
          <t>Aceite de oliva virgen extra</t>
        </is>
      </c>
      <c r="B153" s="29" t="inlineStr">
        <is>
          <t>Aceites, salsas y especias</t>
        </is>
      </c>
      <c r="C153" s="30" t="inlineStr">
        <is>
          <t>l</t>
        </is>
      </c>
      <c r="D153" s="31" t="inlineStr">
        <is>
          <t>M: 1 l
C: 1 l
Co: 3 L</t>
        </is>
      </c>
      <c r="E153" s="32" t="n">
        <v>4.45</v>
      </c>
      <c r="F153" s="32" t="n"/>
      <c r="G153" s="32" t="n">
        <v>4.45</v>
      </c>
      <c r="H153" s="32" t="n">
        <v>4.44</v>
      </c>
      <c r="I153" s="32" t="n">
        <v>4.27</v>
      </c>
      <c r="J153" s="28">
        <f>IF(COUNT(E153:I153)=0,"",IF(COUNT(E153:I153)=1,"Solo dato",IF(E153=MIN(E153:I153),E$1,IF(F153=MIN(E153:I153),F$1,IF(G153=MIN(E153:I153),G$1,IF(H153=MIN(E153:I153),H$1,IF(I153=MIN(E153:I153),I$1,"")))))))</f>
        <v/>
      </c>
      <c r="K153" s="31" t="inlineStr">
        <is>
          <t>Fuentes y productos en notas de precios. M: fuente indirecta.</t>
        </is>
      </c>
    </row>
    <row r="154" ht="34" customHeight="1" s="17">
      <c r="A154" s="29" t="inlineStr">
        <is>
          <t>Alioli</t>
        </is>
      </c>
      <c r="B154" s="29" t="inlineStr">
        <is>
          <t>Aceites, salsas y especias</t>
        </is>
      </c>
      <c r="C154" s="30" t="inlineStr">
        <is>
          <t>ud</t>
        </is>
      </c>
      <c r="D154" s="31" t="inlineStr">
        <is>
          <t>0.31 l</t>
        </is>
      </c>
      <c r="E154" s="32" t="n">
        <v>1.45</v>
      </c>
      <c r="F154" s="32" t="n"/>
      <c r="G154" s="32" t="n"/>
      <c r="H154" s="32" t="n"/>
      <c r="I154" s="32" t="n"/>
      <c r="J154" s="28">
        <f>IF(COUNT(E154:I154)=0,"",IF(COUNT(E154:I154)=1,"Solo dato","Ver formatos"))</f>
        <v/>
      </c>
      <c r="K154" s="31" t="inlineStr">
        <is>
          <t>Fuentes y productos en notas de precios. M: fuente indirecta.</t>
        </is>
      </c>
    </row>
    <row r="155" ht="34" customHeight="1" s="17">
      <c r="A155" s="29" t="inlineStr">
        <is>
          <t>Avecrem</t>
        </is>
      </c>
      <c r="B155" s="29" t="inlineStr">
        <is>
          <t>Aceites, salsas y especias</t>
        </is>
      </c>
      <c r="C155" s="30" t="inlineStr">
        <is>
          <t>ud</t>
        </is>
      </c>
      <c r="D155" s="31" t="inlineStr">
        <is>
          <t>0.24 kg</t>
        </is>
      </c>
      <c r="E155" s="32" t="n">
        <v>2.95</v>
      </c>
      <c r="F155" s="32" t="n"/>
      <c r="G155" s="32" t="n">
        <v>0.79</v>
      </c>
      <c r="H155" s="32" t="n"/>
      <c r="I155" s="32" t="n"/>
      <c r="J155" s="28">
        <f>IF(COUNT(E155:I155)=0,"",IF(COUNT(E155:I155)=1,"Solo dato","Ver formatos"))</f>
        <v/>
      </c>
      <c r="K155" s="31" t="inlineStr">
        <is>
          <t>Fuentes y productos en notas de precios. M: fuente indirecta.</t>
        </is>
      </c>
    </row>
    <row r="156" ht="15" customHeight="1" s="17">
      <c r="A156" s="29" t="inlineStr">
        <is>
          <t>Azafrán</t>
        </is>
      </c>
      <c r="B156" s="29" t="inlineStr">
        <is>
          <t>Aceites, salsas y especias</t>
        </is>
      </c>
      <c r="C156" s="30" t="inlineStr">
        <is>
          <t>ud</t>
        </is>
      </c>
      <c r="D156" s="31" t="n"/>
      <c r="E156" s="32" t="n"/>
      <c r="F156" s="32" t="n"/>
      <c r="G156" s="32" t="n"/>
      <c r="H156" s="32" t="n"/>
      <c r="I156" s="32" t="n"/>
      <c r="J156" s="28">
        <f>IF(COUNT(E156:I156)=0,"",INDEX($E$1:$I$1,MATCH(MIN(E156:I156),E156:I156,0)))</f>
        <v/>
      </c>
      <c r="K156" s="31" t="n"/>
    </row>
    <row r="157" ht="38" customHeight="1" s="17">
      <c r="A157" s="29" t="inlineStr">
        <is>
          <t>Colorante alimentario</t>
        </is>
      </c>
      <c r="B157" s="29" t="inlineStr">
        <is>
          <t>Aceites, salsas y especias</t>
        </is>
      </c>
      <c r="C157" s="30" t="inlineStr">
        <is>
          <t>ud</t>
        </is>
      </c>
      <c r="D157" s="31" t="inlineStr">
        <is>
          <t>M: 0.085 kg
Co: 60 Gr</t>
        </is>
      </c>
      <c r="E157" s="32" t="n">
        <v>0.95</v>
      </c>
      <c r="F157" s="32" t="n"/>
      <c r="G157" s="32" t="n">
        <v>0.67</v>
      </c>
      <c r="H157" s="32" t="n"/>
      <c r="I157" s="32" t="n">
        <v>2.19</v>
      </c>
      <c r="J157" s="28">
        <f>IF(COUNT(E157:I157)=0,"",IF(COUNT(E157:I157)=1,"Solo dato","Ver formatos"))</f>
        <v/>
      </c>
      <c r="K157" s="31" t="inlineStr">
        <is>
          <t>Fuentes y productos en notas de precios. M: fuente indirecta.</t>
        </is>
      </c>
    </row>
    <row r="158" ht="38" customHeight="1" s="17">
      <c r="A158" s="29" t="inlineStr">
        <is>
          <t>Comino</t>
        </is>
      </c>
      <c r="B158" s="29" t="inlineStr">
        <is>
          <t>Aceites, salsas y especias</t>
        </is>
      </c>
      <c r="C158" s="30" t="inlineStr">
        <is>
          <t>ud</t>
        </is>
      </c>
      <c r="D158" s="31" t="inlineStr">
        <is>
          <t>M: 0.058 kg
Co: 35 Gr</t>
        </is>
      </c>
      <c r="E158" s="32" t="n">
        <v>1.15</v>
      </c>
      <c r="F158" s="32" t="n"/>
      <c r="G158" s="32" t="n">
        <v>0.89</v>
      </c>
      <c r="H158" s="32" t="n"/>
      <c r="I158" s="32" t="n">
        <v>2.39</v>
      </c>
      <c r="J158" s="28">
        <f>IF(COUNT(E158:I158)=0,"",IF(COUNT(E158:I158)=1,"Solo dato","Ver formatos"))</f>
        <v/>
      </c>
      <c r="K158" s="31" t="inlineStr">
        <is>
          <t>Fuentes y productos en notas de precios. M: fuente indirecta.</t>
        </is>
      </c>
    </row>
    <row r="159" ht="38" customHeight="1" s="17">
      <c r="A159" s="29" t="inlineStr">
        <is>
          <t>Curry</t>
        </is>
      </c>
      <c r="B159" s="29" t="inlineStr">
        <is>
          <t>Aceites, salsas y especias</t>
        </is>
      </c>
      <c r="C159" s="30" t="inlineStr">
        <is>
          <t>ud</t>
        </is>
      </c>
      <c r="D159" s="31" t="inlineStr">
        <is>
          <t>M: 0.057 kg
Co: 42 Gr</t>
        </is>
      </c>
      <c r="E159" s="32" t="n">
        <v>1.1</v>
      </c>
      <c r="F159" s="32" t="n"/>
      <c r="G159" s="32" t="n">
        <v>0.6899999999999999</v>
      </c>
      <c r="H159" s="32" t="n"/>
      <c r="I159" s="32" t="n">
        <v>2.59</v>
      </c>
      <c r="J159" s="28">
        <f>IF(COUNT(E159:I159)=0,"",IF(COUNT(E159:I159)=1,"Solo dato","Ver formatos"))</f>
        <v/>
      </c>
      <c r="K159" s="31" t="inlineStr">
        <is>
          <t>Fuentes y productos en notas de precios. M: fuente indirecta.</t>
        </is>
      </c>
    </row>
    <row r="160" ht="34" customHeight="1" s="17">
      <c r="A160" s="29" t="inlineStr">
        <is>
          <t>Ketchup</t>
        </is>
      </c>
      <c r="B160" s="29" t="inlineStr">
        <is>
          <t>Aceites, salsas y especias</t>
        </is>
      </c>
      <c r="C160" s="30" t="inlineStr">
        <is>
          <t>ud</t>
        </is>
      </c>
      <c r="D160" s="31" t="inlineStr">
        <is>
          <t>0.6 kg</t>
        </is>
      </c>
      <c r="E160" s="32" t="n">
        <v>1.05</v>
      </c>
      <c r="F160" s="32" t="n"/>
      <c r="G160" s="32" t="n">
        <v>0.95</v>
      </c>
      <c r="H160" s="32" t="n"/>
      <c r="I160" s="32" t="n"/>
      <c r="J160" s="28">
        <f>IF(COUNT(E160:I160)=0,"",IF(COUNT(E160:I160)=1,"Solo dato","Ver formatos"))</f>
        <v/>
      </c>
      <c r="K160" s="31" t="inlineStr">
        <is>
          <t>Fuentes y productos en notas de precios. M: fuente indirecta.</t>
        </is>
      </c>
    </row>
    <row r="161" ht="38" customHeight="1" s="17">
      <c r="A161" s="29" t="inlineStr">
        <is>
          <t>Laurel</t>
        </is>
      </c>
      <c r="B161" s="29" t="inlineStr">
        <is>
          <t>Aceites, salsas y especias</t>
        </is>
      </c>
      <c r="C161" s="30" t="inlineStr">
        <is>
          <t>ud</t>
        </is>
      </c>
      <c r="D161" s="31" t="inlineStr">
        <is>
          <t>M: 0.012 kg
Co: 15 Gr</t>
        </is>
      </c>
      <c r="E161" s="32" t="n">
        <v>0.85</v>
      </c>
      <c r="F161" s="32" t="n"/>
      <c r="G161" s="32" t="n"/>
      <c r="H161" s="32" t="n"/>
      <c r="I161" s="32" t="n">
        <v>0.99</v>
      </c>
      <c r="J161" s="28">
        <f>IF(COUNT(E161:I161)=0,"",IF(COUNT(E161:I161)=1,"Solo dato","Ver formatos"))</f>
        <v/>
      </c>
      <c r="K161" s="31" t="inlineStr">
        <is>
          <t>Fuentes y productos en notas de precios. M: fuente indirecta.</t>
        </is>
      </c>
    </row>
    <row r="162" ht="38" customHeight="1" s="17">
      <c r="A162" s="29" t="inlineStr">
        <is>
          <t>Mayonesa</t>
        </is>
      </c>
      <c r="B162" s="29" t="inlineStr">
        <is>
          <t>Aceites, salsas y especias</t>
        </is>
      </c>
      <c r="C162" s="30" t="inlineStr">
        <is>
          <t>ud</t>
        </is>
      </c>
      <c r="D162" s="31" t="inlineStr">
        <is>
          <t>M: 0.24 l
Co: 450 ml</t>
        </is>
      </c>
      <c r="E162" s="32" t="n">
        <v>1</v>
      </c>
      <c r="F162" s="32" t="n"/>
      <c r="G162" s="32" t="n">
        <v>1.32</v>
      </c>
      <c r="H162" s="32" t="n"/>
      <c r="I162" s="32" t="n">
        <v>2.95</v>
      </c>
      <c r="J162" s="28">
        <f>IF(COUNT(E162:I162)=0,"",IF(COUNT(E162:I162)=1,"Solo dato","Ver formatos"))</f>
        <v/>
      </c>
      <c r="K162" s="31" t="inlineStr">
        <is>
          <t>Fuentes y productos en notas de precios. M: fuente indirecta.</t>
        </is>
      </c>
    </row>
    <row r="163" ht="38" customHeight="1" s="17">
      <c r="A163" s="29" t="inlineStr">
        <is>
          <t>Mostaza</t>
        </is>
      </c>
      <c r="B163" s="29" t="inlineStr">
        <is>
          <t>Aceites, salsas y especias</t>
        </is>
      </c>
      <c r="C163" s="30" t="inlineStr">
        <is>
          <t>ud</t>
        </is>
      </c>
      <c r="D163" s="31" t="inlineStr">
        <is>
          <t>M: 0.388 kg
Co: 215 Gr</t>
        </is>
      </c>
      <c r="E163" s="32" t="n">
        <v>1.25</v>
      </c>
      <c r="F163" s="32" t="n"/>
      <c r="G163" s="32" t="n">
        <v>1.09</v>
      </c>
      <c r="H163" s="32" t="n"/>
      <c r="I163" s="32" t="n">
        <v>3.69</v>
      </c>
      <c r="J163" s="28">
        <f>IF(COUNT(E163:I163)=0,"",IF(COUNT(E163:I163)=1,"Solo dato","Ver formatos"))</f>
        <v/>
      </c>
      <c r="K163" s="31" t="inlineStr">
        <is>
          <t>Fuentes y productos en notas de precios. M: fuente indirecta.</t>
        </is>
      </c>
    </row>
    <row r="164" ht="53" customHeight="1" s="17">
      <c r="A164" s="29" t="inlineStr">
        <is>
          <t>Orégano</t>
        </is>
      </c>
      <c r="B164" s="29" t="inlineStr">
        <is>
          <t>Aceites, salsas y especias</t>
        </is>
      </c>
      <c r="C164" s="30" t="inlineStr">
        <is>
          <t>ud</t>
        </is>
      </c>
      <c r="D164" s="31" t="inlineStr">
        <is>
          <t>M: 0.025 kg
C: 11 g
Co: 10 Gr</t>
        </is>
      </c>
      <c r="E164" s="32" t="n">
        <v>1</v>
      </c>
      <c r="F164" s="32" t="n"/>
      <c r="G164" s="32" t="n">
        <v>1</v>
      </c>
      <c r="H164" s="32" t="n">
        <v>0.46</v>
      </c>
      <c r="I164" s="32" t="n">
        <v>2.69</v>
      </c>
      <c r="J164" s="28">
        <f>IF(COUNT(E164:I164)=0,"",IF(COUNT(E164:I164)=1,"Solo dato","Ver formatos"))</f>
        <v/>
      </c>
      <c r="K164" s="31" t="inlineStr">
        <is>
          <t>Fuentes y productos en notas de precios. M: fuente indirecta.</t>
        </is>
      </c>
    </row>
    <row r="165" ht="34" customHeight="1" s="17">
      <c r="A165" s="29" t="inlineStr">
        <is>
          <t>Pesto</t>
        </is>
      </c>
      <c r="B165" s="29" t="inlineStr">
        <is>
          <t>Aceites, salsas y especias</t>
        </is>
      </c>
      <c r="C165" s="30" t="inlineStr">
        <is>
          <t>ud</t>
        </is>
      </c>
      <c r="D165" s="31" t="inlineStr">
        <is>
          <t>0.19 kg</t>
        </is>
      </c>
      <c r="E165" s="32" t="n">
        <v>1.95</v>
      </c>
      <c r="F165" s="32" t="n"/>
      <c r="G165" s="32" t="n">
        <v>1.85</v>
      </c>
      <c r="H165" s="32" t="n"/>
      <c r="I165" s="32" t="n"/>
      <c r="J165" s="28">
        <f>IF(COUNT(E165:I165)=0,"",IF(COUNT(E165:I165)=1,"Solo dato","Ver formatos"))</f>
        <v/>
      </c>
      <c r="K165" s="31" t="inlineStr">
        <is>
          <t>Fuentes y productos en notas de precios. M: fuente indirecta.</t>
        </is>
      </c>
    </row>
    <row r="166" ht="53" customHeight="1" s="17">
      <c r="A166" s="29" t="inlineStr">
        <is>
          <t>Pimentón</t>
        </is>
      </c>
      <c r="B166" s="29" t="inlineStr">
        <is>
          <t>Aceites, salsas y especias</t>
        </is>
      </c>
      <c r="C166" s="30" t="inlineStr">
        <is>
          <t>ud</t>
        </is>
      </c>
      <c r="D166" s="31" t="inlineStr">
        <is>
          <t>M: 0.075 kg
C: 45 g
Co: 75 Gr</t>
        </is>
      </c>
      <c r="E166" s="32" t="n">
        <v>1.3</v>
      </c>
      <c r="F166" s="32" t="n"/>
      <c r="G166" s="32" t="n">
        <v>1.19</v>
      </c>
      <c r="H166" s="32" t="n">
        <v>0.87</v>
      </c>
      <c r="I166" s="32" t="n">
        <v>2.29</v>
      </c>
      <c r="J166" s="28">
        <f>IF(COUNT(E166:I166)=0,"",IF(COUNT(E166:I166)=1,"Solo dato","Ver formatos"))</f>
        <v/>
      </c>
      <c r="K166" s="31" t="inlineStr">
        <is>
          <t>Fuentes y productos en notas de precios. M: fuente indirecta.</t>
        </is>
      </c>
    </row>
    <row r="167" ht="53" customHeight="1" s="17">
      <c r="A167" s="29" t="inlineStr">
        <is>
          <t>Pimienta</t>
        </is>
      </c>
      <c r="B167" s="29" t="inlineStr">
        <is>
          <t>Aceites, salsas y especias</t>
        </is>
      </c>
      <c r="C167" s="30" t="inlineStr">
        <is>
          <t>ud</t>
        </is>
      </c>
      <c r="D167" s="31" t="inlineStr">
        <is>
          <t>M: 0.07 kg
C: 45 g
Co: 40 Gr</t>
        </is>
      </c>
      <c r="E167" s="32" t="n">
        <v>1.3</v>
      </c>
      <c r="F167" s="32" t="n"/>
      <c r="G167" s="32" t="n">
        <v>0.75</v>
      </c>
      <c r="H167" s="32" t="n">
        <v>0.85</v>
      </c>
      <c r="I167" s="32" t="n">
        <v>3.59</v>
      </c>
      <c r="J167" s="28">
        <f>IF(COUNT(E167:I167)=0,"",IF(COUNT(E167:I167)=1,"Solo dato","Ver formatos"))</f>
        <v/>
      </c>
      <c r="K167" s="31" t="inlineStr">
        <is>
          <t>Fuentes y productos en notas de precios. M: fuente indirecta. Incluye oferta.</t>
        </is>
      </c>
    </row>
    <row r="168" ht="38" customHeight="1" s="17">
      <c r="A168" s="29" t="inlineStr">
        <is>
          <t>Sal</t>
        </is>
      </c>
      <c r="B168" s="29" t="inlineStr">
        <is>
          <t>Aceites, salsas y especias</t>
        </is>
      </c>
      <c r="C168" s="30" t="inlineStr">
        <is>
          <t>ud</t>
        </is>
      </c>
      <c r="D168" s="31" t="inlineStr">
        <is>
          <t>M: 1 kg
Co: 1000 Gr</t>
        </is>
      </c>
      <c r="E168" s="32" t="n">
        <v>0.4</v>
      </c>
      <c r="F168" s="32" t="n"/>
      <c r="G168" s="32" t="n">
        <v>0.38</v>
      </c>
      <c r="H168" s="32" t="n"/>
      <c r="I168" s="32" t="n">
        <v>0.4</v>
      </c>
      <c r="J168" s="28">
        <f>IF(COUNT(E168:I168)=0,"",IF(COUNT(E168:I168)=1,"Solo dato",IF(E168=MIN(E168:I168),E$1,IF(F168=MIN(E168:I168),F$1,IF(G168=MIN(E168:I168),G$1,IF(H168=MIN(E168:I168),H$1,IF(I168=MIN(E168:I168),I$1,"")))))))</f>
        <v/>
      </c>
      <c r="K168" s="31" t="inlineStr">
        <is>
          <t>Fuentes y productos en notas de precios. M: fuente indirecta.</t>
        </is>
      </c>
    </row>
    <row r="169" ht="34" customHeight="1" s="17">
      <c r="A169" s="29" t="inlineStr">
        <is>
          <t>Salsa barbacoa</t>
        </is>
      </c>
      <c r="B169" s="29" t="inlineStr">
        <is>
          <t>Aceites, salsas y especias</t>
        </is>
      </c>
      <c r="C169" s="30" t="inlineStr">
        <is>
          <t>ud</t>
        </is>
      </c>
      <c r="D169" s="31" t="inlineStr">
        <is>
          <t>0.35 kg</t>
        </is>
      </c>
      <c r="E169" s="32" t="n">
        <v>1.15</v>
      </c>
      <c r="F169" s="32" t="n"/>
      <c r="G169" s="32" t="n"/>
      <c r="H169" s="32" t="n"/>
      <c r="I169" s="32" t="n"/>
      <c r="J169" s="28">
        <f>IF(COUNT(E169:I169)=0,"",IF(COUNT(E169:I169)=1,"Solo dato","Ver formatos"))</f>
        <v/>
      </c>
      <c r="K169" s="31" t="inlineStr">
        <is>
          <t>Fuentes y productos en notas de precios. M: fuente indirecta.</t>
        </is>
      </c>
    </row>
    <row r="170" ht="34" customHeight="1" s="17">
      <c r="A170" s="29" t="inlineStr">
        <is>
          <t>Salsa de soja</t>
        </is>
      </c>
      <c r="B170" s="29" t="inlineStr">
        <is>
          <t>Aceites, salsas y especias</t>
        </is>
      </c>
      <c r="C170" s="30" t="inlineStr">
        <is>
          <t>ud</t>
        </is>
      </c>
      <c r="D170" s="31" t="inlineStr">
        <is>
          <t>0.25 l</t>
        </is>
      </c>
      <c r="E170" s="32" t="n">
        <v>1.2</v>
      </c>
      <c r="F170" s="32" t="n"/>
      <c r="G170" s="32" t="n">
        <v>1.15</v>
      </c>
      <c r="H170" s="32" t="n"/>
      <c r="I170" s="32" t="n"/>
      <c r="J170" s="28">
        <f>IF(COUNT(E170:I170)=0,"",IF(COUNT(E170:I170)=1,"Solo dato","Ver formatos"))</f>
        <v/>
      </c>
      <c r="K170" s="31" t="inlineStr">
        <is>
          <t>Fuentes y productos en notas de precios. M: fuente indirecta.</t>
        </is>
      </c>
    </row>
    <row r="171" ht="53" customHeight="1" s="17">
      <c r="A171" s="29" t="inlineStr">
        <is>
          <t>Tomate frito</t>
        </is>
      </c>
      <c r="B171" s="29" t="inlineStr">
        <is>
          <t>Aceites, salsas y especias</t>
        </is>
      </c>
      <c r="C171" s="30" t="inlineStr">
        <is>
          <t>ud</t>
        </is>
      </c>
      <c r="D171" s="31" t="inlineStr">
        <is>
          <t>M: 0.56 kg
C: 350 g
Co: 400 Gr</t>
        </is>
      </c>
      <c r="E171" s="32" t="n">
        <v>0.9</v>
      </c>
      <c r="F171" s="32" t="n"/>
      <c r="G171" s="32" t="n">
        <v>0.76</v>
      </c>
      <c r="H171" s="32" t="n">
        <v>2.89</v>
      </c>
      <c r="I171" s="32" t="n">
        <v>1.55</v>
      </c>
      <c r="J171" s="28">
        <f>IF(COUNT(E171:I171)=0,"",IF(COUNT(E171:I171)=1,"Solo dato","Ver formatos"))</f>
        <v/>
      </c>
      <c r="K171" s="31" t="inlineStr">
        <is>
          <t>Fuentes y productos en notas de precios. M: fuente indirecta.</t>
        </is>
      </c>
    </row>
    <row r="172" ht="53" customHeight="1" s="17">
      <c r="A172" s="29" t="inlineStr">
        <is>
          <t>Tomate triturado</t>
        </is>
      </c>
      <c r="B172" s="29" t="inlineStr">
        <is>
          <t>Aceites, salsas y especias</t>
        </is>
      </c>
      <c r="C172" s="30" t="inlineStr">
        <is>
          <t>ud</t>
        </is>
      </c>
      <c r="D172" s="31" t="inlineStr">
        <is>
          <t>M: 0.4 kg
C: 390 g
Co: 400 Gr</t>
        </is>
      </c>
      <c r="E172" s="32" t="n">
        <v>0.55</v>
      </c>
      <c r="F172" s="32" t="n"/>
      <c r="G172" s="32" t="n">
        <v>0.47</v>
      </c>
      <c r="H172" s="32" t="n">
        <v>0.53</v>
      </c>
      <c r="I172" s="32" t="n">
        <v>0.55</v>
      </c>
      <c r="J172" s="28">
        <f>IF(COUNT(E172:I172)=0,"",IF(COUNT(E172:I172)=1,"Solo dato","Ver formatos"))</f>
        <v/>
      </c>
      <c r="K172" s="31" t="inlineStr">
        <is>
          <t>Fuentes y productos en notas de precios. M: fuente indirecta.</t>
        </is>
      </c>
    </row>
    <row r="173" ht="53" customHeight="1" s="17">
      <c r="A173" s="29" t="inlineStr">
        <is>
          <t>Vinagre</t>
        </is>
      </c>
      <c r="B173" s="29" t="inlineStr">
        <is>
          <t>Aceites, salsas y especias</t>
        </is>
      </c>
      <c r="C173" s="30" t="inlineStr">
        <is>
          <t>ud</t>
        </is>
      </c>
      <c r="D173" s="31" t="inlineStr">
        <is>
          <t>M: 1 l
C: 1 l
Co: 1000 ml</t>
        </is>
      </c>
      <c r="E173" s="32" t="n">
        <v>0.65</v>
      </c>
      <c r="F173" s="32" t="n"/>
      <c r="G173" s="32" t="n">
        <v>0.62</v>
      </c>
      <c r="H173" s="32" t="n">
        <v>0.62</v>
      </c>
      <c r="I173" s="32" t="n">
        <v>0.65</v>
      </c>
      <c r="J173" s="28">
        <f>IF(COUNT(E173:I173)=0,"",IF(COUNT(E173:I173)=1,"Solo dato",IF(E173=MIN(E173:I173),E$1,IF(F173=MIN(E173:I173),F$1,IF(G173=MIN(E173:I173),G$1,IF(H173=MIN(E173:I173),H$1,IF(I173=MIN(E173:I173),I$1,"")))))))</f>
        <v/>
      </c>
      <c r="K173" s="31" t="inlineStr">
        <is>
          <t>Fuentes y productos en notas de precios. M: fuente indirecta.</t>
        </is>
      </c>
    </row>
    <row r="174" ht="34" customHeight="1" s="17">
      <c r="A174" s="29" t="inlineStr">
        <is>
          <t>Aceitunas</t>
        </is>
      </c>
      <c r="B174" s="29" t="inlineStr">
        <is>
          <t>Conservas</t>
        </is>
      </c>
      <c r="C174" s="30" t="inlineStr">
        <is>
          <t>ud</t>
        </is>
      </c>
      <c r="D174" s="31" t="inlineStr">
        <is>
          <t>0.35 kg</t>
        </is>
      </c>
      <c r="E174" s="32" t="n">
        <v>1.05</v>
      </c>
      <c r="F174" s="32" t="n"/>
      <c r="G174" s="32" t="n">
        <v>1.65</v>
      </c>
      <c r="H174" s="32" t="n"/>
      <c r="I174" s="32" t="n"/>
      <c r="J174" s="28">
        <f>IF(COUNT(E174:I174)=0,"",IF(COUNT(E174:I174)=1,"Solo dato","Ver formatos"))</f>
        <v/>
      </c>
      <c r="K174" s="31" t="inlineStr">
        <is>
          <t>Fuentes y productos en notas de precios. M: fuente indirecta.</t>
        </is>
      </c>
    </row>
    <row r="175" ht="38" customHeight="1" s="17">
      <c r="A175" s="29" t="inlineStr">
        <is>
          <t>Alcachofas en conserva</t>
        </is>
      </c>
      <c r="B175" s="29" t="inlineStr">
        <is>
          <t>Conservas</t>
        </is>
      </c>
      <c r="C175" s="30" t="inlineStr">
        <is>
          <t>ud</t>
        </is>
      </c>
      <c r="D175" s="31" t="inlineStr">
        <is>
          <t>M: 0.43 kg
Co: 240 Gr</t>
        </is>
      </c>
      <c r="E175" s="32" t="n">
        <v>2.15</v>
      </c>
      <c r="F175" s="32" t="n"/>
      <c r="G175" s="32" t="n"/>
      <c r="H175" s="32" t="n"/>
      <c r="I175" s="32" t="n">
        <v>2.35</v>
      </c>
      <c r="J175" s="28">
        <f>IF(COUNT(E175:I175)=0,"",IF(COUNT(E175:I175)=1,"Solo dato","Ver formatos"))</f>
        <v/>
      </c>
      <c r="K175" s="31" t="inlineStr">
        <is>
          <t>Fuentes y productos en notas de precios. M: fuente indirecta.</t>
        </is>
      </c>
    </row>
    <row r="176" ht="38" customHeight="1" s="17">
      <c r="A176" s="29" t="inlineStr">
        <is>
          <t>Atún en lata</t>
        </is>
      </c>
      <c r="B176" s="29" t="inlineStr">
        <is>
          <t>Conservas</t>
        </is>
      </c>
      <c r="C176" s="30" t="inlineStr">
        <is>
          <t>ud</t>
        </is>
      </c>
      <c r="D176" s="31" t="inlineStr">
        <is>
          <t>M: 0.48 kg
C: 52 g</t>
        </is>
      </c>
      <c r="E176" s="32" t="n">
        <v>4.2</v>
      </c>
      <c r="F176" s="32" t="n"/>
      <c r="G176" s="32" t="n">
        <v>2.19</v>
      </c>
      <c r="H176" s="32" t="n">
        <v>3.75</v>
      </c>
      <c r="I176" s="32" t="n"/>
      <c r="J176" s="28">
        <f>IF(COUNT(E176:I176)=0,"",IF(COUNT(E176:I176)=1,"Solo dato","Ver formatos"))</f>
        <v/>
      </c>
      <c r="K176" s="31" t="inlineStr">
        <is>
          <t>Fuentes y productos en notas de precios. M: fuente indirecta.</t>
        </is>
      </c>
    </row>
    <row r="177" ht="15" customHeight="1" s="17">
      <c r="A177" s="29" t="inlineStr">
        <is>
          <t>Berberechos</t>
        </is>
      </c>
      <c r="B177" s="29" t="inlineStr">
        <is>
          <t>Conservas</t>
        </is>
      </c>
      <c r="C177" s="30" t="inlineStr">
        <is>
          <t>ud</t>
        </is>
      </c>
      <c r="D177" s="31" t="n"/>
      <c r="E177" s="32" t="n"/>
      <c r="F177" s="32" t="n"/>
      <c r="G177" s="32" t="n">
        <v>3.09</v>
      </c>
      <c r="H177" s="32" t="n"/>
      <c r="I177" s="32" t="n"/>
      <c r="J177" s="28">
        <f>IF(COUNT(E177:I177)=0,"",INDEX($E$1:$I$1,MATCH(MIN(E177:I177),E177:I177,0)))</f>
        <v/>
      </c>
      <c r="K177" s="31" t="n"/>
    </row>
    <row r="178" ht="53" customHeight="1" s="17">
      <c r="A178" s="29" t="inlineStr">
        <is>
          <t>Espárragos</t>
        </is>
      </c>
      <c r="B178" s="29" t="inlineStr">
        <is>
          <t>Conservas</t>
        </is>
      </c>
      <c r="C178" s="30" t="inlineStr">
        <is>
          <t>ud</t>
        </is>
      </c>
      <c r="D178" s="31" t="inlineStr">
        <is>
          <t>M: 0.31 kg
C: 205 g
Co: 110 Gr</t>
        </is>
      </c>
      <c r="E178" s="32" t="n">
        <v>3.25</v>
      </c>
      <c r="F178" s="32" t="n"/>
      <c r="G178" s="32" t="n">
        <v>1.99</v>
      </c>
      <c r="H178" s="32" t="n">
        <v>2.05</v>
      </c>
      <c r="I178" s="32" t="n">
        <v>1.89</v>
      </c>
      <c r="J178" s="28">
        <f>IF(COUNT(E178:I178)=0,"",IF(COUNT(E178:I178)=1,"Solo dato","Ver formatos"))</f>
        <v/>
      </c>
      <c r="K178" s="31" t="inlineStr">
        <is>
          <t>Fuentes y productos en notas de precios. M: fuente indirecta.</t>
        </is>
      </c>
    </row>
    <row r="179" ht="38" customHeight="1" s="17">
      <c r="A179" s="29" t="inlineStr">
        <is>
          <t>Maíz en lata</t>
        </is>
      </c>
      <c r="B179" s="29" t="inlineStr">
        <is>
          <t>Conservas</t>
        </is>
      </c>
      <c r="C179" s="30" t="inlineStr">
        <is>
          <t>ud</t>
        </is>
      </c>
      <c r="D179" s="31" t="inlineStr">
        <is>
          <t>M: 0.45 kg
C: 140 g</t>
        </is>
      </c>
      <c r="E179" s="32" t="n">
        <v>1.55</v>
      </c>
      <c r="F179" s="32" t="n"/>
      <c r="G179" s="32" t="n"/>
      <c r="H179" s="32" t="n">
        <v>1.55</v>
      </c>
      <c r="I179" s="32" t="n"/>
      <c r="J179" s="28">
        <f>IF(COUNT(E179:I179)=0,"",IF(COUNT(E179:I179)=1,"Solo dato","Ver formatos"))</f>
        <v/>
      </c>
      <c r="K179" s="31" t="inlineStr">
        <is>
          <t>Fuentes y productos en notas de precios. M: fuente indirecta.</t>
        </is>
      </c>
    </row>
    <row r="180" ht="38" customHeight="1" s="17">
      <c r="A180" s="29" t="inlineStr">
        <is>
          <t>Mejillones en escabeche</t>
        </is>
      </c>
      <c r="B180" s="29" t="inlineStr">
        <is>
          <t>Conservas</t>
        </is>
      </c>
      <c r="C180" s="30" t="inlineStr">
        <is>
          <t>ud</t>
        </is>
      </c>
      <c r="D180" s="31" t="inlineStr">
        <is>
          <t>M: 0.35 kg
Co: 69 Gr</t>
        </is>
      </c>
      <c r="E180" s="32" t="n">
        <v>2.65</v>
      </c>
      <c r="F180" s="32" t="n"/>
      <c r="G180" s="32" t="n">
        <v>2.29</v>
      </c>
      <c r="H180" s="32" t="n"/>
      <c r="I180" s="32" t="n">
        <v>2.49</v>
      </c>
      <c r="J180" s="28">
        <f>IF(COUNT(E180:I180)=0,"",IF(COUNT(E180:I180)=1,"Solo dato","Ver formatos"))</f>
        <v/>
      </c>
      <c r="K180" s="31" t="inlineStr">
        <is>
          <t>Fuentes y productos en notas de precios. M: fuente indirecta.</t>
        </is>
      </c>
    </row>
    <row r="181" ht="34" customHeight="1" s="17">
      <c r="A181" s="29" t="inlineStr">
        <is>
          <t>Melocotón en almíbar</t>
        </is>
      </c>
      <c r="B181" s="29" t="inlineStr">
        <is>
          <t>Conservas</t>
        </is>
      </c>
      <c r="C181" s="30" t="inlineStr">
        <is>
          <t>ud</t>
        </is>
      </c>
      <c r="D181" s="31" t="inlineStr">
        <is>
          <t>0.84 kg</t>
        </is>
      </c>
      <c r="E181" s="32" t="n">
        <v>1.95</v>
      </c>
      <c r="F181" s="32" t="n"/>
      <c r="G181" s="32" t="n"/>
      <c r="H181" s="32" t="n"/>
      <c r="I181" s="32" t="n"/>
      <c r="J181" s="28">
        <f>IF(COUNT(E181:I181)=0,"",IF(COUNT(E181:I181)=1,"Solo dato","Ver formatos"))</f>
        <v/>
      </c>
      <c r="K181" s="31" t="inlineStr">
        <is>
          <t>Fuentes y productos en notas de precios. M: fuente indirecta.</t>
        </is>
      </c>
    </row>
    <row r="182" ht="53" customHeight="1" s="17">
      <c r="A182" s="29" t="inlineStr">
        <is>
          <t>Paté</t>
        </is>
      </c>
      <c r="B182" s="29" t="inlineStr">
        <is>
          <t>Conservas</t>
        </is>
      </c>
      <c r="C182" s="30" t="inlineStr">
        <is>
          <t>ud</t>
        </is>
      </c>
      <c r="D182" s="31" t="inlineStr">
        <is>
          <t>C: 78 g
Co: 200 Gr
M: 0.16 kg</t>
        </is>
      </c>
      <c r="E182" s="32" t="n">
        <v>1.1</v>
      </c>
      <c r="F182" s="32" t="n"/>
      <c r="G182" s="32" t="n">
        <v>1.09</v>
      </c>
      <c r="H182" s="32" t="n">
        <v>2.09</v>
      </c>
      <c r="I182" s="32" t="n">
        <v>1.25</v>
      </c>
      <c r="J182" s="28">
        <f>IF(COUNT(E182:I182)=0,"",IF(COUNT(E182:I182)=1,"Solo dato","Ver formatos"))</f>
        <v/>
      </c>
      <c r="K182" s="31" t="inlineStr">
        <is>
          <t>Fuentes y productos en notas de precios. M: fuente indirecta.</t>
        </is>
      </c>
    </row>
    <row r="183" ht="34" customHeight="1" s="17">
      <c r="A183" s="29" t="inlineStr">
        <is>
          <t>Pepinillos</t>
        </is>
      </c>
      <c r="B183" s="29" t="inlineStr">
        <is>
          <t>Conservas</t>
        </is>
      </c>
      <c r="C183" s="30" t="inlineStr">
        <is>
          <t>ud</t>
        </is>
      </c>
      <c r="D183" s="31" t="inlineStr">
        <is>
          <t>0.42 kg</t>
        </is>
      </c>
      <c r="E183" s="32" t="n">
        <v>1.45</v>
      </c>
      <c r="F183" s="32" t="n"/>
      <c r="G183" s="32" t="n">
        <v>1.59</v>
      </c>
      <c r="H183" s="32" t="n"/>
      <c r="I183" s="32" t="n"/>
      <c r="J183" s="28">
        <f>IF(COUNT(E183:I183)=0,"",IF(COUNT(E183:I183)=1,"Solo dato","Ver formatos"))</f>
        <v/>
      </c>
      <c r="K183" s="31" t="inlineStr">
        <is>
          <t>Fuentes y productos en notas de precios. M: fuente indirecta.</t>
        </is>
      </c>
    </row>
    <row r="184" ht="53" customHeight="1" s="17">
      <c r="A184" s="29" t="inlineStr">
        <is>
          <t>Pimientos del piquillo</t>
        </is>
      </c>
      <c r="B184" s="29" t="inlineStr">
        <is>
          <t>Conservas</t>
        </is>
      </c>
      <c r="C184" s="30" t="inlineStr">
        <is>
          <t>ud</t>
        </is>
      </c>
      <c r="D184" s="31" t="inlineStr">
        <is>
          <t>M: 0.34 kg
C: 225 g
Co: 225 Gr</t>
        </is>
      </c>
      <c r="E184" s="32" t="n">
        <v>1.45</v>
      </c>
      <c r="F184" s="32" t="n"/>
      <c r="G184" s="32" t="n">
        <v>0.99</v>
      </c>
      <c r="H184" s="32" t="n">
        <v>1.1</v>
      </c>
      <c r="I184" s="32" t="n">
        <v>1.19</v>
      </c>
      <c r="J184" s="28">
        <f>IF(COUNT(E184:I184)=0,"",IF(COUNT(E184:I184)=1,"Solo dato","Ver formatos"))</f>
        <v/>
      </c>
      <c r="K184" s="31" t="inlineStr">
        <is>
          <t>Fuentes y productos en notas de precios. M: fuente indirecta.</t>
        </is>
      </c>
    </row>
    <row r="185" ht="34" customHeight="1" s="17">
      <c r="A185" s="29" t="inlineStr">
        <is>
          <t>Sardinas en lata</t>
        </is>
      </c>
      <c r="B185" s="29" t="inlineStr">
        <is>
          <t>Conservas</t>
        </is>
      </c>
      <c r="C185" s="30" t="inlineStr">
        <is>
          <t>ud</t>
        </is>
      </c>
      <c r="D185" s="31" t="inlineStr">
        <is>
          <t>84 Gr</t>
        </is>
      </c>
      <c r="E185" s="32" t="n"/>
      <c r="F185" s="32" t="n"/>
      <c r="G185" s="32" t="n">
        <v>2.75</v>
      </c>
      <c r="H185" s="32" t="n"/>
      <c r="I185" s="32" t="n">
        <v>1.99</v>
      </c>
      <c r="J185" s="28">
        <f>IF(COUNT(E185:I185)=0,"",IF(COUNT(E185:I185)=1,"Solo dato","Ver formatos"))</f>
        <v/>
      </c>
      <c r="K185" s="31" t="inlineStr">
        <is>
          <t>Fuentes y productos en notas de precios. Incluye oferta.</t>
        </is>
      </c>
    </row>
    <row r="186" ht="34" customHeight="1" s="17">
      <c r="A186" s="29" t="inlineStr">
        <is>
          <t>Azúcar</t>
        </is>
      </c>
      <c r="B186" s="29" t="inlineStr">
        <is>
          <t>Desayuno y dulces</t>
        </is>
      </c>
      <c r="C186" s="30" t="inlineStr">
        <is>
          <t>kg</t>
        </is>
      </c>
      <c r="D186" s="31" t="inlineStr">
        <is>
          <t>1 kg</t>
        </is>
      </c>
      <c r="E186" s="32" t="n">
        <v>0.9</v>
      </c>
      <c r="F186" s="32" t="n"/>
      <c r="G186" s="32" t="n"/>
      <c r="H186" s="32" t="n">
        <v>0.9</v>
      </c>
      <c r="I186" s="32" t="n"/>
      <c r="J186" s="28">
        <f>IF(COUNT(E186:I186)=0,"",IF(COUNT(E186:I186)=1,"Solo dato",IF(E186=MIN(E186:I186),E$1,IF(F186=MIN(E186:I186),F$1,IF(G186=MIN(E186:I186),G$1,IF(H186=MIN(E186:I186),H$1,IF(I186=MIN(E186:I186),I$1,"")))))))</f>
        <v/>
      </c>
      <c r="K186" s="31" t="inlineStr">
        <is>
          <t>Fuentes y productos en notas de precios. M: fuente indirecta.</t>
        </is>
      </c>
    </row>
    <row r="187" ht="34" customHeight="1" s="17">
      <c r="A187" s="29" t="inlineStr">
        <is>
          <t>Barritas de cereales</t>
        </is>
      </c>
      <c r="B187" s="29" t="inlineStr">
        <is>
          <t>Desayuno y dulces</t>
        </is>
      </c>
      <c r="C187" s="30" t="inlineStr">
        <is>
          <t>ud</t>
        </is>
      </c>
      <c r="D187" s="31" t="inlineStr">
        <is>
          <t>0.14 kg</t>
        </is>
      </c>
      <c r="E187" s="32" t="n">
        <v>1.45</v>
      </c>
      <c r="F187" s="32" t="n"/>
      <c r="G187" s="32" t="n">
        <v>1.48</v>
      </c>
      <c r="H187" s="32" t="n"/>
      <c r="I187" s="32" t="n"/>
      <c r="J187" s="28">
        <f>IF(COUNT(E187:I187)=0,"",IF(COUNT(E187:I187)=1,"Solo dato","Ver formatos"))</f>
        <v/>
      </c>
      <c r="K187" s="31" t="inlineStr">
        <is>
          <t>Fuentes y productos en notas de precios. M: fuente indirecta.</t>
        </is>
      </c>
    </row>
    <row r="188" ht="38" customHeight="1" s="17">
      <c r="A188" s="29" t="inlineStr">
        <is>
          <t>Cacao en polvo</t>
        </is>
      </c>
      <c r="B188" s="29" t="inlineStr">
        <is>
          <t>Desayuno y dulces</t>
        </is>
      </c>
      <c r="C188" s="30" t="inlineStr">
        <is>
          <t>ud</t>
        </is>
      </c>
      <c r="D188" s="31" t="inlineStr">
        <is>
          <t>M: 0.4 kg
Co: 250 Gr</t>
        </is>
      </c>
      <c r="E188" s="32" t="n">
        <v>1.85</v>
      </c>
      <c r="F188" s="32" t="n"/>
      <c r="G188" s="32" t="n">
        <v>4.79</v>
      </c>
      <c r="H188" s="32" t="n"/>
      <c r="I188" s="32" t="n">
        <v>6.75</v>
      </c>
      <c r="J188" s="28">
        <f>IF(COUNT(E188:I188)=0,"",IF(COUNT(E188:I188)=1,"Solo dato","Ver formatos"))</f>
        <v/>
      </c>
      <c r="K188" s="31" t="inlineStr">
        <is>
          <t>Fuentes y productos en notas de precios. M: fuente indirecta.</t>
        </is>
      </c>
    </row>
    <row r="189" ht="53" customHeight="1" s="17">
      <c r="A189" s="29" t="inlineStr">
        <is>
          <t>Café en cápsulas</t>
        </is>
      </c>
      <c r="B189" s="29" t="inlineStr">
        <is>
          <t>Desayuno y dulces</t>
        </is>
      </c>
      <c r="C189" s="30" t="inlineStr">
        <is>
          <t>ud</t>
        </is>
      </c>
      <c r="D189" s="31" t="inlineStr">
        <is>
          <t>M: 0.112 kg
C: 20 ud
Co: 30 U</t>
        </is>
      </c>
      <c r="E189" s="32" t="n">
        <v>3.25</v>
      </c>
      <c r="F189" s="32" t="n"/>
      <c r="G189" s="32" t="n">
        <v>3.65</v>
      </c>
      <c r="H189" s="32" t="n">
        <v>4.99</v>
      </c>
      <c r="I189" s="32" t="n">
        <v>8.550000000000001</v>
      </c>
      <c r="J189" s="28">
        <f>IF(COUNT(E189:I189)=0,"",IF(COUNT(E189:I189)=1,"Solo dato","Ver formatos"))</f>
        <v/>
      </c>
      <c r="K189" s="31" t="inlineStr">
        <is>
          <t>Fuentes y productos en notas de precios. M: fuente indirecta.</t>
        </is>
      </c>
    </row>
    <row r="190" ht="53" customHeight="1" s="17">
      <c r="A190" s="29" t="inlineStr">
        <is>
          <t>Café molido</t>
        </is>
      </c>
      <c r="B190" s="29" t="inlineStr">
        <is>
          <t>Desayuno y dulces</t>
        </is>
      </c>
      <c r="C190" s="30" t="inlineStr">
        <is>
          <t>ud</t>
        </is>
      </c>
      <c r="D190" s="31" t="inlineStr">
        <is>
          <t>M: 0.25 kg
C: 500 g
Co: 250 Gr</t>
        </is>
      </c>
      <c r="E190" s="32" t="n">
        <v>2.5</v>
      </c>
      <c r="F190" s="32" t="n"/>
      <c r="G190" s="32" t="n">
        <v>3.25</v>
      </c>
      <c r="H190" s="32" t="n">
        <v>4.49</v>
      </c>
      <c r="I190" s="32" t="n">
        <v>4.49</v>
      </c>
      <c r="J190" s="28">
        <f>IF(COUNT(E190:I190)=0,"",IF(COUNT(E190:I190)=1,"Solo dato","Ver formatos"))</f>
        <v/>
      </c>
      <c r="K190" s="31" t="inlineStr">
        <is>
          <t>Fuentes y productos en notas de precios. M: fuente indirecta. Incluye oferta.</t>
        </is>
      </c>
    </row>
    <row r="191" ht="38" customHeight="1" s="17">
      <c r="A191" s="29" t="inlineStr">
        <is>
          <t>Café soluble</t>
        </is>
      </c>
      <c r="B191" s="29" t="inlineStr">
        <is>
          <t>Desayuno y dulces</t>
        </is>
      </c>
      <c r="C191" s="30" t="inlineStr">
        <is>
          <t>ud</t>
        </is>
      </c>
      <c r="D191" s="31" t="inlineStr">
        <is>
          <t>M: 0.2 kg
Co: 100 Gr</t>
        </is>
      </c>
      <c r="E191" s="32" t="n">
        <v>3.9</v>
      </c>
      <c r="F191" s="32" t="n"/>
      <c r="G191" s="32" t="n">
        <v>3.79</v>
      </c>
      <c r="H191" s="32" t="n"/>
      <c r="I191" s="32" t="n">
        <v>4.75</v>
      </c>
      <c r="J191" s="28">
        <f>IF(COUNT(E191:I191)=0,"",IF(COUNT(E191:I191)=1,"Solo dato","Ver formatos"))</f>
        <v/>
      </c>
      <c r="K191" s="31" t="inlineStr">
        <is>
          <t>Fuentes y productos en notas de precios. M: fuente indirecta. Incluye oferta.</t>
        </is>
      </c>
    </row>
    <row r="192" ht="53" customHeight="1" s="17">
      <c r="A192" s="29" t="inlineStr">
        <is>
          <t>Cereales</t>
        </is>
      </c>
      <c r="B192" s="29" t="inlineStr">
        <is>
          <t>Desayuno y dulces</t>
        </is>
      </c>
      <c r="C192" s="30" t="inlineStr">
        <is>
          <t>ud</t>
        </is>
      </c>
      <c r="D192" s="31" t="inlineStr">
        <is>
          <t>C: 375 g
Co: 300 Gr
M: 0.4 kg</t>
        </is>
      </c>
      <c r="E192" s="32" t="n">
        <v>1.8</v>
      </c>
      <c r="F192" s="32" t="n"/>
      <c r="G192" s="32" t="n">
        <v>1.45</v>
      </c>
      <c r="H192" s="32" t="n">
        <v>5.49</v>
      </c>
      <c r="I192" s="32" t="n">
        <v>2.99</v>
      </c>
      <c r="J192" s="28">
        <f>IF(COUNT(E192:I192)=0,"",IF(COUNT(E192:I192)=1,"Solo dato","Ver formatos"))</f>
        <v/>
      </c>
      <c r="K192" s="31" t="inlineStr">
        <is>
          <t>Fuentes y productos en notas de precios. M: fuente indirecta. Incluye oferta.</t>
        </is>
      </c>
    </row>
    <row r="193" ht="34" customHeight="1" s="17">
      <c r="A193" s="29" t="inlineStr">
        <is>
          <t>Chocolate</t>
        </is>
      </c>
      <c r="B193" s="29" t="inlineStr">
        <is>
          <t>Desayuno y dulces</t>
        </is>
      </c>
      <c r="C193" s="30" t="inlineStr">
        <is>
          <t>ud</t>
        </is>
      </c>
      <c r="D193" s="31" t="inlineStr">
        <is>
          <t>0.15 kg</t>
        </is>
      </c>
      <c r="E193" s="32" t="n">
        <v>1.95</v>
      </c>
      <c r="F193" s="32" t="n"/>
      <c r="G193" s="32" t="n">
        <v>0.99</v>
      </c>
      <c r="H193" s="32" t="n"/>
      <c r="I193" s="32" t="n"/>
      <c r="J193" s="28">
        <f>IF(COUNT(E193:I193)=0,"",IF(COUNT(E193:I193)=1,"Solo dato","Ver formatos"))</f>
        <v/>
      </c>
      <c r="K193" s="31" t="inlineStr">
        <is>
          <t>Fuentes y productos en notas de precios. M: fuente indirecta.</t>
        </is>
      </c>
    </row>
    <row r="194" ht="34" customHeight="1" s="17">
      <c r="A194" s="29" t="inlineStr">
        <is>
          <t>Chucherías</t>
        </is>
      </c>
      <c r="B194" s="29" t="inlineStr">
        <is>
          <t>Desayuno y dulces</t>
        </is>
      </c>
      <c r="C194" s="30" t="inlineStr">
        <is>
          <t>ud</t>
        </is>
      </c>
      <c r="D194" s="31" t="inlineStr">
        <is>
          <t>0.3 kg</t>
        </is>
      </c>
      <c r="E194" s="32" t="n">
        <v>1.6</v>
      </c>
      <c r="F194" s="32" t="n"/>
      <c r="G194" s="32" t="n"/>
      <c r="H194" s="32" t="n"/>
      <c r="I194" s="32" t="n"/>
      <c r="J194" s="28">
        <f>IF(COUNT(E194:I194)=0,"",IF(COUNT(E194:I194)=1,"Solo dato","Ver formatos"))</f>
        <v/>
      </c>
      <c r="K194" s="31" t="inlineStr">
        <is>
          <t>Fuentes y productos en notas de precios. M: fuente indirecta.</t>
        </is>
      </c>
    </row>
    <row r="195" ht="53" customHeight="1" s="17">
      <c r="A195" s="29" t="inlineStr">
        <is>
          <t>Copos de avena</t>
        </is>
      </c>
      <c r="B195" s="29" t="inlineStr">
        <is>
          <t>Desayuno y dulces</t>
        </is>
      </c>
      <c r="C195" s="30" t="inlineStr">
        <is>
          <t>ud</t>
        </is>
      </c>
      <c r="D195" s="31" t="inlineStr">
        <is>
          <t>M: 0.8 kg
C: 500 g
Co: 450 Gr</t>
        </is>
      </c>
      <c r="E195" s="32" t="n">
        <v>1.3</v>
      </c>
      <c r="F195" s="32" t="n"/>
      <c r="G195" s="32" t="n">
        <v>0.75</v>
      </c>
      <c r="H195" s="32" t="n">
        <v>0.83</v>
      </c>
      <c r="I195" s="32" t="n">
        <v>1.99</v>
      </c>
      <c r="J195" s="28">
        <f>IF(COUNT(E195:I195)=0,"",IF(COUNT(E195:I195)=1,"Solo dato","Ver formatos"))</f>
        <v/>
      </c>
      <c r="K195" s="31" t="inlineStr">
        <is>
          <t>Fuentes y productos en notas de precios. M: fuente indirecta. Incluye oferta.</t>
        </is>
      </c>
    </row>
    <row r="196" ht="38" customHeight="1" s="17">
      <c r="A196" s="29" t="inlineStr">
        <is>
          <t>Crema de cacao</t>
        </is>
      </c>
      <c r="B196" s="29" t="inlineStr">
        <is>
          <t>Desayuno y dulces</t>
        </is>
      </c>
      <c r="C196" s="30" t="inlineStr">
        <is>
          <t>ud</t>
        </is>
      </c>
      <c r="D196" s="31" t="inlineStr">
        <is>
          <t>M: 0.4 kg
Co: 500 Gr</t>
        </is>
      </c>
      <c r="E196" s="32" t="n">
        <v>2.35</v>
      </c>
      <c r="F196" s="32" t="n"/>
      <c r="G196" s="32" t="n">
        <v>2.11</v>
      </c>
      <c r="H196" s="32" t="n"/>
      <c r="I196" s="32" t="n">
        <v>1.95</v>
      </c>
      <c r="J196" s="28">
        <f>IF(COUNT(E196:I196)=0,"",IF(COUNT(E196:I196)=1,"Solo dato","Ver formatos"))</f>
        <v/>
      </c>
      <c r="K196" s="31" t="inlineStr">
        <is>
          <t>Fuentes y productos en notas de precios. M: fuente indirecta.</t>
        </is>
      </c>
    </row>
    <row r="197" ht="38" customHeight="1" s="17">
      <c r="A197" s="29" t="inlineStr">
        <is>
          <t>Edulcorante</t>
        </is>
      </c>
      <c r="B197" s="29" t="inlineStr">
        <is>
          <t>Desayuno y dulces</t>
        </is>
      </c>
      <c r="C197" s="30" t="inlineStr">
        <is>
          <t>ud</t>
        </is>
      </c>
      <c r="D197" s="31" t="inlineStr">
        <is>
          <t>M: 0.15 l
Co: 75 Gr</t>
        </is>
      </c>
      <c r="E197" s="32" t="n">
        <v>0.85</v>
      </c>
      <c r="F197" s="32" t="n"/>
      <c r="G197" s="32" t="n">
        <v>1.45</v>
      </c>
      <c r="H197" s="32" t="n"/>
      <c r="I197" s="32" t="n">
        <v>1.59</v>
      </c>
      <c r="J197" s="28">
        <f>IF(COUNT(E197:I197)=0,"",IF(COUNT(E197:I197)=1,"Solo dato","Ver formatos"))</f>
        <v/>
      </c>
      <c r="K197" s="31" t="inlineStr">
        <is>
          <t>Fuentes y productos en notas de precios. M: fuente indirecta.</t>
        </is>
      </c>
    </row>
    <row r="198" ht="34" customHeight="1" s="17">
      <c r="A198" s="29" t="inlineStr">
        <is>
          <t>Frutos secos</t>
        </is>
      </c>
      <c r="B198" s="29" t="inlineStr">
        <is>
          <t>Desayuno y dulces</t>
        </is>
      </c>
      <c r="C198" s="30" t="inlineStr">
        <is>
          <t>ud</t>
        </is>
      </c>
      <c r="D198" s="31" t="inlineStr">
        <is>
          <t>0.3 kg</t>
        </is>
      </c>
      <c r="E198" s="32" t="n">
        <v>1.6</v>
      </c>
      <c r="F198" s="32" t="n"/>
      <c r="G198" s="32" t="n">
        <v>2.49</v>
      </c>
      <c r="H198" s="32" t="n"/>
      <c r="I198" s="32" t="n"/>
      <c r="J198" s="28">
        <f>IF(COUNT(E198:I198)=0,"",IF(COUNT(E198:I198)=1,"Solo dato","Ver formatos"))</f>
        <v/>
      </c>
      <c r="K198" s="31" t="inlineStr">
        <is>
          <t>Fuentes y productos en notas de precios. M: fuente indirecta.</t>
        </is>
      </c>
    </row>
    <row r="199" ht="53" customHeight="1" s="17">
      <c r="A199" s="29" t="inlineStr">
        <is>
          <t>Galletas</t>
        </is>
      </c>
      <c r="B199" s="29" t="inlineStr">
        <is>
          <t>Desayuno y dulces</t>
        </is>
      </c>
      <c r="C199" s="30" t="inlineStr">
        <is>
          <t>ud</t>
        </is>
      </c>
      <c r="D199" s="31" t="inlineStr">
        <is>
          <t>M: 0.425 kg
C: 225 g
Co: 160 Gr</t>
        </is>
      </c>
      <c r="E199" s="32" t="n">
        <v>1</v>
      </c>
      <c r="F199" s="32" t="n"/>
      <c r="G199" s="32" t="n">
        <v>1.49</v>
      </c>
      <c r="H199" s="32" t="n">
        <v>1.29</v>
      </c>
      <c r="I199" s="32" t="n">
        <v>1.99</v>
      </c>
      <c r="J199" s="28">
        <f>IF(COUNT(E199:I199)=0,"",IF(COUNT(E199:I199)=1,"Solo dato","Ver formatos"))</f>
        <v/>
      </c>
      <c r="K199" s="31" t="inlineStr">
        <is>
          <t>Fuentes y productos en notas de precios. M: fuente indirecta. Incluye oferta.</t>
        </is>
      </c>
    </row>
    <row r="200" ht="38" customHeight="1" s="17">
      <c r="A200" s="29" t="inlineStr">
        <is>
          <t>Galletas María</t>
        </is>
      </c>
      <c r="B200" s="29" t="inlineStr">
        <is>
          <t>Desayuno y dulces</t>
        </is>
      </c>
      <c r="C200" s="30" t="inlineStr">
        <is>
          <t>ud</t>
        </is>
      </c>
      <c r="D200" s="31" t="inlineStr">
        <is>
          <t>M: 0.8 kg
C: 800 g</t>
        </is>
      </c>
      <c r="E200" s="32" t="n">
        <v>1.35</v>
      </c>
      <c r="F200" s="32" t="n"/>
      <c r="G200" s="32" t="n">
        <v>1.29</v>
      </c>
      <c r="H200" s="32" t="n">
        <v>1.35</v>
      </c>
      <c r="I200" s="32" t="n"/>
      <c r="J200" s="28">
        <f>IF(COUNT(E200:I200)=0,"",IF(COUNT(E200:I200)=1,"Solo dato",IF(E200=MIN(E200:I200),E$1,IF(F200=MIN(E200:I200),F$1,IF(G200=MIN(E200:I200),G$1,IF(H200=MIN(E200:I200),H$1,IF(I200=MIN(E200:I200),I$1,"")))))))</f>
        <v/>
      </c>
      <c r="K200" s="31" t="inlineStr">
        <is>
          <t>Fuentes y productos en notas de precios. M: fuente indirecta.</t>
        </is>
      </c>
    </row>
    <row r="201" ht="15" customHeight="1" s="17">
      <c r="A201" s="29" t="inlineStr">
        <is>
          <t>Gusanitos</t>
        </is>
      </c>
      <c r="B201" s="29" t="inlineStr">
        <is>
          <t>Desayuno y dulces</t>
        </is>
      </c>
      <c r="C201" s="30" t="inlineStr">
        <is>
          <t>ud</t>
        </is>
      </c>
      <c r="D201" s="31" t="n"/>
      <c r="E201" s="32" t="n"/>
      <c r="F201" s="32" t="n"/>
      <c r="G201" s="32" t="n"/>
      <c r="H201" s="32" t="n"/>
      <c r="I201" s="32" t="n"/>
      <c r="J201" s="28">
        <f>IF(COUNT(E201:I201)=0,"",INDEX($E$1:$I$1,MATCH(MIN(E201:I201),E201:I201,0)))</f>
        <v/>
      </c>
      <c r="K201" s="31" t="n"/>
    </row>
    <row r="202" ht="38" customHeight="1" s="17">
      <c r="A202" s="29" t="inlineStr">
        <is>
          <t>Infusiones</t>
        </is>
      </c>
      <c r="B202" s="29" t="inlineStr">
        <is>
          <t>Desayuno y dulces</t>
        </is>
      </c>
      <c r="C202" s="30" t="inlineStr">
        <is>
          <t>ud</t>
        </is>
      </c>
      <c r="D202" s="31" t="inlineStr">
        <is>
          <t>M: 0.027 kg
Co: 20 U</t>
        </is>
      </c>
      <c r="E202" s="32" t="n">
        <v>0.65</v>
      </c>
      <c r="F202" s="32" t="n"/>
      <c r="G202" s="32" t="n">
        <v>0.74</v>
      </c>
      <c r="H202" s="32" t="n"/>
      <c r="I202" s="32" t="n">
        <v>2.99</v>
      </c>
      <c r="J202" s="28">
        <f>IF(COUNT(E202:I202)=0,"",IF(COUNT(E202:I202)=1,"Solo dato","Ver formatos"))</f>
        <v/>
      </c>
      <c r="K202" s="31" t="inlineStr">
        <is>
          <t>Fuentes y productos en notas de precios. M: fuente indirecta.</t>
        </is>
      </c>
    </row>
    <row r="203" ht="38" customHeight="1" s="17">
      <c r="A203" s="29" t="inlineStr">
        <is>
          <t>Mermelada</t>
        </is>
      </c>
      <c r="B203" s="29" t="inlineStr">
        <is>
          <t>Desayuno y dulces</t>
        </is>
      </c>
      <c r="C203" s="30" t="inlineStr">
        <is>
          <t>ud</t>
        </is>
      </c>
      <c r="D203" s="31" t="inlineStr">
        <is>
          <t>M: 0.4 kg
Co: 410 Gr</t>
        </is>
      </c>
      <c r="E203" s="32" t="n">
        <v>1.45</v>
      </c>
      <c r="F203" s="32" t="n"/>
      <c r="G203" s="32" t="n">
        <v>1.31</v>
      </c>
      <c r="H203" s="32" t="n"/>
      <c r="I203" s="32" t="n">
        <v>1.48</v>
      </c>
      <c r="J203" s="28">
        <f>IF(COUNT(E203:I203)=0,"",IF(COUNT(E203:I203)=1,"Solo dato","Ver formatos"))</f>
        <v/>
      </c>
      <c r="K203" s="31" t="inlineStr">
        <is>
          <t>Fuentes y productos en notas de precios. M: fuente indirecta.</t>
        </is>
      </c>
    </row>
    <row r="204" ht="38" customHeight="1" s="17">
      <c r="A204" s="29" t="inlineStr">
        <is>
          <t>Miel</t>
        </is>
      </c>
      <c r="B204" s="29" t="inlineStr">
        <is>
          <t>Desayuno y dulces</t>
        </is>
      </c>
      <c r="C204" s="30" t="inlineStr">
        <is>
          <t>ud</t>
        </is>
      </c>
      <c r="D204" s="31" t="inlineStr">
        <is>
          <t>M: 1 kg
Co: 1 Kg</t>
        </is>
      </c>
      <c r="E204" s="32" t="n">
        <v>5</v>
      </c>
      <c r="F204" s="32" t="n"/>
      <c r="G204" s="32" t="n">
        <v>4.99</v>
      </c>
      <c r="H204" s="32" t="n"/>
      <c r="I204" s="32" t="n">
        <v>5</v>
      </c>
      <c r="J204" s="28">
        <f>IF(COUNT(E204:I204)=0,"",IF(COUNT(E204:I204)=1,"Solo dato",IF(E204=MIN(E204:I204),E$1,IF(F204=MIN(E204:I204),F$1,IF(G204=MIN(E204:I204),G$1,IF(H204=MIN(E204:I204),H$1,IF(I204=MIN(E204:I204),I$1,"")))))))</f>
        <v/>
      </c>
      <c r="K204" s="31" t="inlineStr">
        <is>
          <t>Fuentes y productos en notas de precios. M: fuente indirecta.</t>
        </is>
      </c>
    </row>
    <row r="205" ht="34" customHeight="1" s="17">
      <c r="A205" s="29" t="inlineStr">
        <is>
          <t>Palomitas</t>
        </is>
      </c>
      <c r="B205" s="29" t="inlineStr">
        <is>
          <t>Desayuno y dulces</t>
        </is>
      </c>
      <c r="C205" s="30" t="inlineStr">
        <is>
          <t>ud</t>
        </is>
      </c>
      <c r="D205" s="31" t="inlineStr">
        <is>
          <t>0.27 kg</t>
        </is>
      </c>
      <c r="E205" s="32" t="n">
        <v>1.2</v>
      </c>
      <c r="F205" s="32" t="n"/>
      <c r="G205" s="32" t="n"/>
      <c r="H205" s="32" t="n"/>
      <c r="I205" s="32" t="n"/>
      <c r="J205" s="28">
        <f>IF(COUNT(E205:I205)=0,"",IF(COUNT(E205:I205)=1,"Solo dato","Ver formatos"))</f>
        <v/>
      </c>
      <c r="K205" s="31" t="inlineStr">
        <is>
          <t>Fuentes y productos en notas de precios. M: fuente indirecta.</t>
        </is>
      </c>
    </row>
    <row r="206" ht="53" customHeight="1" s="17">
      <c r="A206" s="29" t="inlineStr">
        <is>
          <t>Patatas fritas</t>
        </is>
      </c>
      <c r="B206" s="29" t="inlineStr">
        <is>
          <t>Desayuno y dulces</t>
        </is>
      </c>
      <c r="C206" s="30" t="inlineStr">
        <is>
          <t>ud</t>
        </is>
      </c>
      <c r="D206" s="31" t="inlineStr">
        <is>
          <t>M: 0.3 kg
C: 248 g
A: 2 x 150 g</t>
        </is>
      </c>
      <c r="E206" s="32" t="n">
        <v>1.8</v>
      </c>
      <c r="F206" s="32" t="n"/>
      <c r="G206" s="32" t="n">
        <v>1.09</v>
      </c>
      <c r="H206" s="32" t="n">
        <v>2.85</v>
      </c>
      <c r="I206" s="32" t="n"/>
      <c r="J206" s="28">
        <f>IF(COUNT(E206:I206)=0,"",IF(COUNT(E206:I206)=1,"Solo dato","Ver formatos"))</f>
        <v/>
      </c>
      <c r="K206" s="31" t="inlineStr">
        <is>
          <t>Fuentes y productos en notas de precios. M: fuente indirecta. Incluye oferta.</t>
        </is>
      </c>
    </row>
    <row r="207" ht="34" customHeight="1" s="17">
      <c r="A207" s="29" t="inlineStr">
        <is>
          <t>Tostadas de arroz</t>
        </is>
      </c>
      <c r="B207" s="29" t="inlineStr">
        <is>
          <t>Desayuno y dulces</t>
        </is>
      </c>
      <c r="C207" s="30" t="inlineStr">
        <is>
          <t>ud</t>
        </is>
      </c>
      <c r="D207" s="31" t="inlineStr">
        <is>
          <t>0.124 kg</t>
        </is>
      </c>
      <c r="E207" s="32" t="n">
        <v>1.1</v>
      </c>
      <c r="F207" s="32" t="n"/>
      <c r="G207" s="32" t="n">
        <v>0.99</v>
      </c>
      <c r="H207" s="32" t="n"/>
      <c r="I207" s="32" t="n"/>
      <c r="J207" s="28">
        <f>IF(COUNT(E207:I207)=0,"",IF(COUNT(E207:I207)=1,"Solo dato","Ver formatos"))</f>
        <v/>
      </c>
      <c r="K207" s="31" t="inlineStr">
        <is>
          <t>Fuentes y productos en notas de precios. M: fuente indirecta.</t>
        </is>
      </c>
    </row>
    <row r="208" ht="38" customHeight="1" s="17">
      <c r="A208" s="29" t="inlineStr">
        <is>
          <t>Té</t>
        </is>
      </c>
      <c r="B208" s="29" t="inlineStr">
        <is>
          <t>Desayuno y dulces</t>
        </is>
      </c>
      <c r="C208" s="30" t="inlineStr">
        <is>
          <t>ud</t>
        </is>
      </c>
      <c r="D208" s="31" t="inlineStr">
        <is>
          <t>M: 0.03 kg
Co: 20 U</t>
        </is>
      </c>
      <c r="E208" s="32" t="n">
        <v>0.75</v>
      </c>
      <c r="F208" s="32" t="n"/>
      <c r="G208" s="32" t="n">
        <v>0.89</v>
      </c>
      <c r="H208" s="32" t="n"/>
      <c r="I208" s="32" t="n">
        <v>2.99</v>
      </c>
      <c r="J208" s="28">
        <f>IF(COUNT(E208:I208)=0,"",IF(COUNT(E208:I208)=1,"Solo dato","Ver formatos"))</f>
        <v/>
      </c>
      <c r="K208" s="31" t="inlineStr">
        <is>
          <t>Fuentes y productos en notas de precios. M: fuente indirecta.</t>
        </is>
      </c>
    </row>
    <row r="209" ht="38" customHeight="1" s="17">
      <c r="A209" s="29" t="inlineStr">
        <is>
          <t>Croquetas</t>
        </is>
      </c>
      <c r="B209" s="29" t="inlineStr">
        <is>
          <t>Congelados</t>
        </is>
      </c>
      <c r="C209" s="30" t="inlineStr">
        <is>
          <t>ud</t>
        </is>
      </c>
      <c r="D209" s="31" t="inlineStr">
        <is>
          <t>M: 0.5 kg
Co: 500 Gr</t>
        </is>
      </c>
      <c r="E209" s="32" t="n">
        <v>1.4</v>
      </c>
      <c r="F209" s="32" t="n"/>
      <c r="G209" s="32" t="n">
        <v>1.99</v>
      </c>
      <c r="H209" s="32" t="n"/>
      <c r="I209" s="32" t="n">
        <v>3.49</v>
      </c>
      <c r="J209" s="28">
        <f>IF(COUNT(E209:I209)=0,"",IF(COUNT(E209:I209)=1,"Solo dato",IF(E209=MIN(E209:I209),E$1,IF(F209=MIN(E209:I209),F$1,IF(G209=MIN(E209:I209),G$1,IF(H209=MIN(E209:I209),H$1,IF(I209=MIN(E209:I209),I$1,"")))))))</f>
        <v/>
      </c>
      <c r="K209" s="31" t="inlineStr">
        <is>
          <t>Fuentes y productos en notas de precios. M: fuente indirecta. Incluye oferta.</t>
        </is>
      </c>
    </row>
    <row r="210" ht="34" customHeight="1" s="17">
      <c r="A210" s="29" t="inlineStr">
        <is>
          <t>Empanadillas</t>
        </is>
      </c>
      <c r="B210" s="29" t="inlineStr">
        <is>
          <t>Congelados</t>
        </is>
      </c>
      <c r="C210" s="30" t="inlineStr">
        <is>
          <t>ud</t>
        </is>
      </c>
      <c r="D210" s="31" t="inlineStr">
        <is>
          <t>0.5 kg</t>
        </is>
      </c>
      <c r="E210" s="32" t="n">
        <v>1.9</v>
      </c>
      <c r="F210" s="32" t="n"/>
      <c r="G210" s="32" t="n">
        <v>0.89</v>
      </c>
      <c r="H210" s="32" t="n"/>
      <c r="I210" s="32" t="n"/>
      <c r="J210" s="28">
        <f>IF(COUNT(E210:I210)=0,"",IF(COUNT(E210:I210)=1,"Solo dato","Ver formatos"))</f>
        <v/>
      </c>
      <c r="K210" s="31" t="inlineStr">
        <is>
          <t>Fuentes y productos en notas de precios. M: fuente indirecta.</t>
        </is>
      </c>
    </row>
    <row r="211" ht="15" customHeight="1" s="17">
      <c r="A211" s="29" t="inlineStr">
        <is>
          <t>Gambas congeladas</t>
        </is>
      </c>
      <c r="B211" s="29" t="inlineStr">
        <is>
          <t>Congelados</t>
        </is>
      </c>
      <c r="C211" s="30" t="inlineStr">
        <is>
          <t>ud</t>
        </is>
      </c>
      <c r="D211" s="31" t="n"/>
      <c r="E211" s="32" t="n"/>
      <c r="F211" s="32" t="n"/>
      <c r="G211" s="32" t="n"/>
      <c r="H211" s="32" t="n"/>
      <c r="I211" s="32" t="n"/>
      <c r="J211" s="28">
        <f>IF(COUNT(E211:I211)=0,"",INDEX($E$1:$I$1,MATCH(MIN(E211:I211),E211:I211,0)))</f>
        <v/>
      </c>
      <c r="K211" s="31" t="n"/>
    </row>
    <row r="212" ht="34" customHeight="1" s="17">
      <c r="A212" s="29" t="inlineStr">
        <is>
          <t>Guisantes congelados</t>
        </is>
      </c>
      <c r="B212" s="29" t="inlineStr">
        <is>
          <t>Congelados</t>
        </is>
      </c>
      <c r="C212" s="30" t="inlineStr">
        <is>
          <t>ud</t>
        </is>
      </c>
      <c r="D212" s="31" t="inlineStr">
        <is>
          <t>1 kg</t>
        </is>
      </c>
      <c r="E212" s="32" t="n">
        <v>1.5</v>
      </c>
      <c r="F212" s="32" t="n"/>
      <c r="G212" s="32" t="n">
        <v>1.49</v>
      </c>
      <c r="H212" s="32" t="n"/>
      <c r="I212" s="32" t="n"/>
      <c r="J212" s="28">
        <f>IF(COUNT(E212:I212)=0,"",IF(COUNT(E212:I212)=1,"Solo dato","Ver formatos"))</f>
        <v/>
      </c>
      <c r="K212" s="31" t="inlineStr">
        <is>
          <t>Fuentes y productos en notas de precios. M: fuente indirecta.</t>
        </is>
      </c>
    </row>
    <row r="213" ht="38" customHeight="1" s="17">
      <c r="A213" s="29" t="inlineStr">
        <is>
          <t>Helado</t>
        </is>
      </c>
      <c r="B213" s="29" t="inlineStr">
        <is>
          <t>Congelados</t>
        </is>
      </c>
      <c r="C213" s="30" t="inlineStr">
        <is>
          <t>ud</t>
        </is>
      </c>
      <c r="D213" s="31" t="inlineStr">
        <is>
          <t>M: 1 l
C: 12 ud</t>
        </is>
      </c>
      <c r="E213" s="32" t="n">
        <v>2.4</v>
      </c>
      <c r="F213" s="32" t="n"/>
      <c r="G213" s="32" t="n"/>
      <c r="H213" s="32" t="n">
        <v>1.44</v>
      </c>
      <c r="I213" s="32" t="n"/>
      <c r="J213" s="28">
        <f>IF(COUNT(E213:I213)=0,"",IF(COUNT(E213:I213)=1,"Solo dato","Ver formatos"))</f>
        <v/>
      </c>
      <c r="K213" s="31" t="inlineStr">
        <is>
          <t>Fuentes y productos en notas de precios. M: fuente indirecta.</t>
        </is>
      </c>
    </row>
    <row r="214" ht="34" customHeight="1" s="17">
      <c r="A214" s="29" t="inlineStr">
        <is>
          <t>Hielo</t>
        </is>
      </c>
      <c r="B214" s="29" t="inlineStr">
        <is>
          <t>Congelados</t>
        </is>
      </c>
      <c r="C214" s="30" t="inlineStr">
        <is>
          <t>ud</t>
        </is>
      </c>
      <c r="D214" s="31" t="inlineStr">
        <is>
          <t>2 kg</t>
        </is>
      </c>
      <c r="E214" s="32" t="n">
        <v>1.15</v>
      </c>
      <c r="F214" s="32" t="n"/>
      <c r="G214" s="32" t="n"/>
      <c r="H214" s="32" t="n">
        <v>1.14</v>
      </c>
      <c r="I214" s="32" t="n"/>
      <c r="J214" s="28">
        <f>IF(COUNT(E214:I214)=0,"",IF(COUNT(E214:I214)=1,"Solo dato",IF(E214=MIN(E214:I214),E$1,IF(F214=MIN(E214:I214),F$1,IF(G214=MIN(E214:I214),G$1,IF(H214=MIN(E214:I214),H$1,IF(I214=MIN(E214:I214),I$1,"")))))))</f>
        <v/>
      </c>
      <c r="K214" s="31" t="inlineStr">
        <is>
          <t>Fuentes y productos en notas de precios. M: fuente indirecta.</t>
        </is>
      </c>
    </row>
    <row r="215" ht="38" customHeight="1" s="17">
      <c r="A215" s="29" t="inlineStr">
        <is>
          <t>Masa de hojaldre</t>
        </is>
      </c>
      <c r="B215" s="29" t="inlineStr">
        <is>
          <t>Congelados</t>
        </is>
      </c>
      <c r="C215" s="30" t="inlineStr">
        <is>
          <t>ud</t>
        </is>
      </c>
      <c r="D215" s="31" t="inlineStr">
        <is>
          <t>M: 0.52 kg
Co: 230 Gr</t>
        </is>
      </c>
      <c r="E215" s="32" t="n">
        <v>2.4</v>
      </c>
      <c r="F215" s="32" t="n"/>
      <c r="G215" s="32" t="n">
        <v>0.82</v>
      </c>
      <c r="H215" s="32" t="n"/>
      <c r="I215" s="32" t="n">
        <v>2</v>
      </c>
      <c r="J215" s="28">
        <f>IF(COUNT(E215:I215)=0,"",IF(COUNT(E215:I215)=1,"Solo dato","Ver formatos"))</f>
        <v/>
      </c>
      <c r="K215" s="31" t="inlineStr">
        <is>
          <t>Fuentes y productos en notas de precios. M: fuente indirecta. Incluye oferta.</t>
        </is>
      </c>
    </row>
    <row r="216" ht="34" customHeight="1" s="17">
      <c r="A216" s="29" t="inlineStr">
        <is>
          <t>Masa de pizza</t>
        </is>
      </c>
      <c r="B216" s="29" t="inlineStr">
        <is>
          <t>Congelados</t>
        </is>
      </c>
      <c r="C216" s="30" t="inlineStr">
        <is>
          <t>ud</t>
        </is>
      </c>
      <c r="D216" s="31" t="inlineStr">
        <is>
          <t>350 Gr</t>
        </is>
      </c>
      <c r="E216" s="32" t="n"/>
      <c r="F216" s="32" t="n"/>
      <c r="G216" s="32" t="n">
        <v>1.35</v>
      </c>
      <c r="H216" s="32" t="n"/>
      <c r="I216" s="32" t="n">
        <v>2.45</v>
      </c>
      <c r="J216" s="28">
        <f>IF(COUNT(E216:I216)=0,"",IF(COUNT(E216:I216)=1,"Solo dato","Ver formatos"))</f>
        <v/>
      </c>
      <c r="K216" s="31" t="inlineStr">
        <is>
          <t>Fuentes y productos en notas de precios. Incluye oferta.</t>
        </is>
      </c>
    </row>
    <row r="217" ht="15" customHeight="1" s="17">
      <c r="A217" s="29" t="inlineStr">
        <is>
          <t>Nuggets</t>
        </is>
      </c>
      <c r="B217" s="29" t="inlineStr">
        <is>
          <t>Congelados</t>
        </is>
      </c>
      <c r="C217" s="30" t="inlineStr">
        <is>
          <t>ud</t>
        </is>
      </c>
      <c r="D217" s="31" t="n"/>
      <c r="E217" s="32" t="n"/>
      <c r="F217" s="32" t="n"/>
      <c r="G217" s="32" t="n"/>
      <c r="H217" s="32" t="n"/>
      <c r="I217" s="32" t="n"/>
      <c r="J217" s="28">
        <f>IF(COUNT(E217:I217)=0,"",INDEX($E$1:$I$1,MATCH(MIN(E217:I217),E217:I217,0)))</f>
        <v/>
      </c>
      <c r="K217" s="31" t="n"/>
    </row>
    <row r="218" ht="34" customHeight="1" s="17">
      <c r="A218" s="29" t="inlineStr">
        <is>
          <t>Patatas fritas congeladas</t>
        </is>
      </c>
      <c r="B218" s="29" t="inlineStr">
        <is>
          <t>Congelados</t>
        </is>
      </c>
      <c r="C218" s="30" t="inlineStr">
        <is>
          <t>ud</t>
        </is>
      </c>
      <c r="D218" s="31" t="inlineStr">
        <is>
          <t>1 Kg</t>
        </is>
      </c>
      <c r="E218" s="32" t="n"/>
      <c r="F218" s="32" t="n"/>
      <c r="G218" s="32" t="n">
        <v>1.79</v>
      </c>
      <c r="H218" s="32" t="n"/>
      <c r="I218" s="32" t="n">
        <v>1.95</v>
      </c>
      <c r="J218" s="28">
        <f>IF(COUNT(E218:I218)=0,"",IF(COUNT(E218:I218)=1,"Solo dato","Ver formatos"))</f>
        <v/>
      </c>
      <c r="K218" s="31" t="inlineStr">
        <is>
          <t>Fuentes y productos en notas de precios.</t>
        </is>
      </c>
    </row>
    <row r="219" ht="15" customHeight="1" s="17">
      <c r="A219" s="29" t="inlineStr">
        <is>
          <t>Pizza congelada</t>
        </is>
      </c>
      <c r="B219" s="29" t="inlineStr">
        <is>
          <t>Congelados</t>
        </is>
      </c>
      <c r="C219" s="30" t="inlineStr">
        <is>
          <t>ud</t>
        </is>
      </c>
      <c r="D219" s="31" t="n"/>
      <c r="E219" s="32" t="n"/>
      <c r="F219" s="32" t="n"/>
      <c r="G219" s="32" t="n">
        <v>2.49</v>
      </c>
      <c r="H219" s="32" t="n"/>
      <c r="I219" s="32" t="n"/>
      <c r="J219" s="28">
        <f>IF(COUNT(E219:I219)=0,"",INDEX($E$1:$I$1,MATCH(MIN(E219:I219),E219:I219,0)))</f>
        <v/>
      </c>
      <c r="K219" s="31" t="n"/>
    </row>
    <row r="220" ht="38" customHeight="1" s="17">
      <c r="A220" s="29" t="inlineStr">
        <is>
          <t>San Jacobos</t>
        </is>
      </c>
      <c r="B220" s="29" t="inlineStr">
        <is>
          <t>Congelados</t>
        </is>
      </c>
      <c r="C220" s="30" t="inlineStr">
        <is>
          <t>ud</t>
        </is>
      </c>
      <c r="D220" s="31" t="inlineStr">
        <is>
          <t>M: 0.4 kg
Co: 300 Gr</t>
        </is>
      </c>
      <c r="E220" s="32" t="n">
        <v>2.64</v>
      </c>
      <c r="F220" s="32" t="n"/>
      <c r="G220" s="32" t="n">
        <v>1.09</v>
      </c>
      <c r="H220" s="32" t="n"/>
      <c r="I220" s="32" t="n">
        <v>3</v>
      </c>
      <c r="J220" s="28">
        <f>IF(COUNT(E220:I220)=0,"",IF(COUNT(E220:I220)=1,"Solo dato","Ver formatos"))</f>
        <v/>
      </c>
      <c r="K220" s="31" t="inlineStr">
        <is>
          <t>Fuentes y productos en notas de precios. M: fuente indirecta.</t>
        </is>
      </c>
    </row>
    <row r="221" ht="34" customHeight="1" s="17">
      <c r="A221" s="29" t="inlineStr">
        <is>
          <t>Varitas de merluza</t>
        </is>
      </c>
      <c r="B221" s="29" t="inlineStr">
        <is>
          <t>Congelados</t>
        </is>
      </c>
      <c r="C221" s="30" t="inlineStr">
        <is>
          <t>ud</t>
        </is>
      </c>
      <c r="D221" s="31" t="inlineStr">
        <is>
          <t>0.4 kg</t>
        </is>
      </c>
      <c r="E221" s="32" t="n">
        <v>4.25</v>
      </c>
      <c r="F221" s="32" t="n"/>
      <c r="G221" s="32" t="n"/>
      <c r="H221" s="32" t="n"/>
      <c r="I221" s="32" t="n"/>
      <c r="J221" s="28">
        <f>IF(COUNT(E221:I221)=0,"",IF(COUNT(E221:I221)=1,"Solo dato","Ver formatos"))</f>
        <v/>
      </c>
      <c r="K221" s="31" t="inlineStr">
        <is>
          <t>Fuentes y productos en notas de precios. M: fuente indirecta.</t>
        </is>
      </c>
    </row>
    <row r="222" ht="34" customHeight="1" s="17">
      <c r="A222" s="29" t="inlineStr">
        <is>
          <t>Verduras congeladas</t>
        </is>
      </c>
      <c r="B222" s="29" t="inlineStr">
        <is>
          <t>Congelados</t>
        </is>
      </c>
      <c r="C222" s="30" t="inlineStr">
        <is>
          <t>ud</t>
        </is>
      </c>
      <c r="D222" s="31" t="inlineStr">
        <is>
          <t>1 kg</t>
        </is>
      </c>
      <c r="E222" s="32" t="n">
        <v>1.75</v>
      </c>
      <c r="F222" s="32" t="n"/>
      <c r="G222" s="32" t="n">
        <v>1.69</v>
      </c>
      <c r="H222" s="32" t="n"/>
      <c r="I222" s="32" t="n"/>
      <c r="J222" s="28">
        <f>IF(COUNT(E222:I222)=0,"",IF(COUNT(E222:I222)=1,"Solo dato","Ver formatos"))</f>
        <v/>
      </c>
      <c r="K222" s="31" t="inlineStr">
        <is>
          <t>Fuentes y productos en notas de precios. M: fuente indirecta.</t>
        </is>
      </c>
    </row>
    <row r="223" ht="38" customHeight="1" s="17">
      <c r="A223" s="29" t="inlineStr">
        <is>
          <t>Agua</t>
        </is>
      </c>
      <c r="B223" s="29" t="inlineStr">
        <is>
          <t>Bebidas</t>
        </is>
      </c>
      <c r="C223" s="30" t="inlineStr">
        <is>
          <t>l</t>
        </is>
      </c>
      <c r="D223" s="31" t="inlineStr">
        <is>
          <t>Co: 5 L
C: 8 l</t>
        </is>
      </c>
      <c r="E223" s="32" t="n"/>
      <c r="F223" s="32" t="n"/>
      <c r="G223" s="32" t="n">
        <v>0.28</v>
      </c>
      <c r="H223" s="32" t="n">
        <v>0.46</v>
      </c>
      <c r="I223" s="32" t="n">
        <v>0.14</v>
      </c>
      <c r="J223" s="28">
        <f>IF(COUNT(E223:I223)=0,"",IF(COUNT(E223:I223)=1,"Solo dato",IF(E223=MIN(E223:I223),E$1,IF(F223=MIN(E223:I223),F$1,IF(G223=MIN(E223:I223),G$1,IF(H223=MIN(E223:I223),H$1,IF(I223=MIN(E223:I223),I$1,"")))))))</f>
        <v/>
      </c>
      <c r="K223" s="31" t="inlineStr">
        <is>
          <t>Fuentes y productos en notas de precios.</t>
        </is>
      </c>
    </row>
    <row r="224" ht="38" customHeight="1" s="17">
      <c r="A224" s="29" t="inlineStr">
        <is>
          <t>Agua con gas</t>
        </is>
      </c>
      <c r="B224" s="29" t="inlineStr">
        <is>
          <t>Bebidas</t>
        </is>
      </c>
      <c r="C224" s="30" t="inlineStr">
        <is>
          <t>ud</t>
        </is>
      </c>
      <c r="D224" s="31" t="inlineStr">
        <is>
          <t>M: 1.5 l
Co: 1 L</t>
        </is>
      </c>
      <c r="E224" s="32" t="n">
        <v>0.42</v>
      </c>
      <c r="F224" s="32" t="n"/>
      <c r="G224" s="32" t="n">
        <v>0.41</v>
      </c>
      <c r="H224" s="32" t="n"/>
      <c r="I224" s="32" t="n">
        <v>1.65</v>
      </c>
      <c r="J224" s="28">
        <f>IF(COUNT(E224:I224)=0,"",IF(COUNT(E224:I224)=1,"Solo dato","Ver formatos"))</f>
        <v/>
      </c>
      <c r="K224" s="31" t="inlineStr">
        <is>
          <t>Fuentes y productos en notas de precios. M: fuente indirecta.</t>
        </is>
      </c>
    </row>
    <row r="225" ht="38" customHeight="1" s="17">
      <c r="A225" s="29" t="inlineStr">
        <is>
          <t>Bebida isotónica</t>
        </is>
      </c>
      <c r="B225" s="29" t="inlineStr">
        <is>
          <t>Bebidas</t>
        </is>
      </c>
      <c r="C225" s="30" t="inlineStr">
        <is>
          <t>ud</t>
        </is>
      </c>
      <c r="D225" s="31" t="inlineStr">
        <is>
          <t>M: 1.5 l
Co: 0,33 L</t>
        </is>
      </c>
      <c r="E225" s="32" t="n">
        <v>1</v>
      </c>
      <c r="F225" s="32" t="n"/>
      <c r="G225" s="32" t="n">
        <v>0.6899999999999999</v>
      </c>
      <c r="H225" s="32" t="n"/>
      <c r="I225" s="32" t="n">
        <v>0.99</v>
      </c>
      <c r="J225" s="28">
        <f>IF(COUNT(E225:I225)=0,"",IF(COUNT(E225:I225)=1,"Solo dato","Ver formatos"))</f>
        <v/>
      </c>
      <c r="K225" s="31" t="inlineStr">
        <is>
          <t>Fuentes y productos en notas de precios. M: fuente indirecta.</t>
        </is>
      </c>
    </row>
    <row r="226" ht="34" customHeight="1" s="17">
      <c r="A226" s="29" t="inlineStr">
        <is>
          <t>Cava</t>
        </is>
      </c>
      <c r="B226" s="29" t="inlineStr">
        <is>
          <t>Bebidas</t>
        </is>
      </c>
      <c r="C226" s="30" t="inlineStr">
        <is>
          <t>ud</t>
        </is>
      </c>
      <c r="D226" s="31" t="inlineStr">
        <is>
          <t>0,75 L</t>
        </is>
      </c>
      <c r="E226" s="32" t="n"/>
      <c r="F226" s="32" t="n"/>
      <c r="G226" s="32" t="n"/>
      <c r="H226" s="32" t="n"/>
      <c r="I226" s="32" t="n">
        <v>3.95</v>
      </c>
      <c r="J226" s="28">
        <f>IF(COUNT(E226:I226)=0,"",IF(COUNT(E226:I226)=1,"Solo dato","Ver formatos"))</f>
        <v/>
      </c>
      <c r="K226" s="31" t="inlineStr">
        <is>
          <t>Fuentes y productos en notas de precios.</t>
        </is>
      </c>
    </row>
    <row r="227" ht="38" customHeight="1" s="17">
      <c r="A227" s="29" t="inlineStr">
        <is>
          <t>Cerveza</t>
        </is>
      </c>
      <c r="B227" s="29" t="inlineStr">
        <is>
          <t>Bebidas</t>
        </is>
      </c>
      <c r="C227" s="30" t="inlineStr">
        <is>
          <t>ud</t>
        </is>
      </c>
      <c r="D227" s="31" t="inlineStr">
        <is>
          <t>C: 50 cl
Co: 0,33 L</t>
        </is>
      </c>
      <c r="E227" s="32" t="n"/>
      <c r="F227" s="32" t="n"/>
      <c r="G227" s="32" t="n">
        <v>0.29</v>
      </c>
      <c r="H227" s="32" t="n">
        <v>1.1</v>
      </c>
      <c r="I227" s="32" t="n">
        <v>0.75</v>
      </c>
      <c r="J227" s="28">
        <f>IF(COUNT(E227:I227)=0,"",IF(COUNT(E227:I227)=1,"Solo dato","Ver formatos"))</f>
        <v/>
      </c>
      <c r="K227" s="31" t="inlineStr">
        <is>
          <t>Fuentes y productos en notas de precios.</t>
        </is>
      </c>
    </row>
    <row r="228" ht="34" customHeight="1" s="17">
      <c r="A228" s="29" t="inlineStr">
        <is>
          <t>Cerveza sin alcohol</t>
        </is>
      </c>
      <c r="B228" s="29" t="inlineStr">
        <is>
          <t>Bebidas</t>
        </is>
      </c>
      <c r="C228" s="30" t="inlineStr">
        <is>
          <t>ud</t>
        </is>
      </c>
      <c r="D228" s="31" t="inlineStr">
        <is>
          <t>0,33 L</t>
        </is>
      </c>
      <c r="E228" s="32" t="n"/>
      <c r="F228" s="32" t="n"/>
      <c r="G228" s="32" t="n">
        <v>0.28</v>
      </c>
      <c r="H228" s="32" t="n"/>
      <c r="I228" s="32" t="n">
        <v>0.75</v>
      </c>
      <c r="J228" s="28">
        <f>IF(COUNT(E228:I228)=0,"",IF(COUNT(E228:I228)=1,"Solo dato","Ver formatos"))</f>
        <v/>
      </c>
      <c r="K228" s="31" t="inlineStr">
        <is>
          <t>Fuentes y productos en notas de precios.</t>
        </is>
      </c>
    </row>
    <row r="229" ht="34" customHeight="1" s="17">
      <c r="A229" s="29" t="inlineStr">
        <is>
          <t>Horchata</t>
        </is>
      </c>
      <c r="B229" s="29" t="inlineStr">
        <is>
          <t>Bebidas</t>
        </is>
      </c>
      <c r="C229" s="30" t="inlineStr">
        <is>
          <t>ud</t>
        </is>
      </c>
      <c r="D229" s="31" t="inlineStr">
        <is>
          <t>1 l</t>
        </is>
      </c>
      <c r="E229" s="32" t="n">
        <v>1.35</v>
      </c>
      <c r="F229" s="32" t="n"/>
      <c r="G229" s="32" t="n"/>
      <c r="H229" s="32" t="n"/>
      <c r="I229" s="32" t="n"/>
      <c r="J229" s="28">
        <f>IF(COUNT(E229:I229)=0,"",IF(COUNT(E229:I229)=1,"Solo dato","Ver formatos"))</f>
        <v/>
      </c>
      <c r="K229" s="31" t="inlineStr">
        <is>
          <t>Fuentes y productos en notas de precios. M: fuente indirecta.</t>
        </is>
      </c>
    </row>
    <row r="230" ht="38" customHeight="1" s="17">
      <c r="A230" s="29" t="inlineStr">
        <is>
          <t>Refresco de cola</t>
        </is>
      </c>
      <c r="B230" s="29" t="inlineStr">
        <is>
          <t>Bebidas</t>
        </is>
      </c>
      <c r="C230" s="30" t="inlineStr">
        <is>
          <t>ud</t>
        </is>
      </c>
      <c r="D230" s="31" t="inlineStr">
        <is>
          <t>M: 2 l
Co: 0,33 L</t>
        </is>
      </c>
      <c r="E230" s="32" t="n">
        <v>2.15</v>
      </c>
      <c r="F230" s="32" t="n"/>
      <c r="G230" s="32" t="n">
        <v>0.34</v>
      </c>
      <c r="H230" s="32" t="n"/>
      <c r="I230" s="32" t="n">
        <v>0.79</v>
      </c>
      <c r="J230" s="28">
        <f>IF(COUNT(E230:I230)=0,"",IF(COUNT(E230:I230)=1,"Solo dato","Ver formatos"))</f>
        <v/>
      </c>
      <c r="K230" s="31" t="inlineStr">
        <is>
          <t>Fuentes y productos en notas de precios. M: fuente indirecta.</t>
        </is>
      </c>
    </row>
    <row r="231" ht="38" customHeight="1" s="17">
      <c r="A231" s="29" t="inlineStr">
        <is>
          <t>Refresco de limón</t>
        </is>
      </c>
      <c r="B231" s="29" t="inlineStr">
        <is>
          <t>Bebidas</t>
        </is>
      </c>
      <c r="C231" s="30" t="inlineStr">
        <is>
          <t>ud</t>
        </is>
      </c>
      <c r="D231" s="31" t="inlineStr">
        <is>
          <t>M: 2 l
Co: 0,33 L</t>
        </is>
      </c>
      <c r="E231" s="32" t="n">
        <v>1.85</v>
      </c>
      <c r="F231" s="32" t="n"/>
      <c r="G231" s="32" t="n">
        <v>0.36</v>
      </c>
      <c r="H231" s="32" t="n"/>
      <c r="I231" s="32" t="n">
        <v>0.75</v>
      </c>
      <c r="J231" s="28">
        <f>IF(COUNT(E231:I231)=0,"",IF(COUNT(E231:I231)=1,"Solo dato","Ver formatos"))</f>
        <v/>
      </c>
      <c r="K231" s="31" t="inlineStr">
        <is>
          <t>Fuentes y productos en notas de precios. M: fuente indirecta. Incluye oferta.</t>
        </is>
      </c>
    </row>
    <row r="232" ht="38" customHeight="1" s="17">
      <c r="A232" s="29" t="inlineStr">
        <is>
          <t>Refresco de naranja</t>
        </is>
      </c>
      <c r="B232" s="29" t="inlineStr">
        <is>
          <t>Bebidas</t>
        </is>
      </c>
      <c r="C232" s="30" t="inlineStr">
        <is>
          <t>ud</t>
        </is>
      </c>
      <c r="D232" s="31" t="inlineStr">
        <is>
          <t>M: 2 l
Co: 0,33 L</t>
        </is>
      </c>
      <c r="E232" s="32" t="n">
        <v>1.85</v>
      </c>
      <c r="F232" s="32" t="n"/>
      <c r="G232" s="32" t="n">
        <v>0.35</v>
      </c>
      <c r="H232" s="32" t="n"/>
      <c r="I232" s="32" t="n">
        <v>0.75</v>
      </c>
      <c r="J232" s="28">
        <f>IF(COUNT(E232:I232)=0,"",IF(COUNT(E232:I232)=1,"Solo dato","Ver formatos"))</f>
        <v/>
      </c>
      <c r="K232" s="31" t="inlineStr">
        <is>
          <t>Fuentes y productos en notas de precios. M: fuente indirecta. Incluye oferta.</t>
        </is>
      </c>
    </row>
    <row r="233" ht="38" customHeight="1" s="17">
      <c r="A233" s="29" t="inlineStr">
        <is>
          <t>Tónica</t>
        </is>
      </c>
      <c r="B233" s="29" t="inlineStr">
        <is>
          <t>Bebidas</t>
        </is>
      </c>
      <c r="C233" s="30" t="inlineStr">
        <is>
          <t>ud</t>
        </is>
      </c>
      <c r="D233" s="31" t="inlineStr">
        <is>
          <t>M: 0.33 l
Co: 0,33 L</t>
        </is>
      </c>
      <c r="E233" s="32" t="n">
        <v>0.37</v>
      </c>
      <c r="F233" s="32" t="n"/>
      <c r="G233" s="32" t="n">
        <v>0.36</v>
      </c>
      <c r="H233" s="32" t="n"/>
      <c r="I233" s="32" t="n">
        <v>0.99</v>
      </c>
      <c r="J233" s="28">
        <f>IF(COUNT(E233:I233)=0,"",IF(COUNT(E233:I233)=1,"Solo dato",IF(E233=MIN(E233:I233),E$1,IF(F233=MIN(E233:I233),F$1,IF(G233=MIN(E233:I233),G$1,IF(H233=MIN(E233:I233),H$1,IF(I233=MIN(E233:I233),I$1,"")))))))</f>
        <v/>
      </c>
      <c r="K233" s="31" t="inlineStr">
        <is>
          <t>Fuentes y productos en notas de precios. M: fuente indirecta. Incluye oferta.</t>
        </is>
      </c>
    </row>
    <row r="234" ht="15" customHeight="1" s="17">
      <c r="A234" s="29" t="inlineStr">
        <is>
          <t>Vino blanco</t>
        </is>
      </c>
      <c r="B234" s="29" t="inlineStr">
        <is>
          <t>Bebidas</t>
        </is>
      </c>
      <c r="C234" s="30" t="inlineStr">
        <is>
          <t>ud</t>
        </is>
      </c>
      <c r="D234" s="31" t="n"/>
      <c r="E234" s="32" t="n"/>
      <c r="F234" s="32" t="n"/>
      <c r="G234" s="32" t="n">
        <v>1.39</v>
      </c>
      <c r="H234" s="32" t="n"/>
      <c r="I234" s="32" t="n"/>
      <c r="J234" s="28">
        <f>IF(COUNT(E234:I234)=0,"",INDEX($E$1:$I$1,MATCH(MIN(E234:I234),E234:I234,0)))</f>
        <v/>
      </c>
      <c r="K234" s="31" t="n"/>
    </row>
    <row r="235" ht="15" customHeight="1" s="17">
      <c r="A235" s="29" t="inlineStr">
        <is>
          <t>Vino tinto</t>
        </is>
      </c>
      <c r="B235" s="29" t="inlineStr">
        <is>
          <t>Bebidas</t>
        </is>
      </c>
      <c r="C235" s="30" t="inlineStr">
        <is>
          <t>ud</t>
        </is>
      </c>
      <c r="D235" s="31" t="n"/>
      <c r="E235" s="32" t="n"/>
      <c r="F235" s="32" t="n"/>
      <c r="G235" s="32" t="n">
        <v>1.39</v>
      </c>
      <c r="H235" s="32" t="n"/>
      <c r="I235" s="32" t="n"/>
      <c r="J235" s="28">
        <f>IF(COUNT(E235:I235)=0,"",INDEX($E$1:$I$1,MATCH(MIN(E235:I235),E235:I235,0)))</f>
        <v/>
      </c>
      <c r="K235" s="31" t="n"/>
    </row>
    <row r="236" ht="34" customHeight="1" s="17">
      <c r="A236" s="29" t="inlineStr">
        <is>
          <t>Zumo de melocotón</t>
        </is>
      </c>
      <c r="B236" s="29" t="inlineStr">
        <is>
          <t>Bebidas</t>
        </is>
      </c>
      <c r="C236" s="30" t="inlineStr">
        <is>
          <t>ud</t>
        </is>
      </c>
      <c r="D236" s="31" t="inlineStr">
        <is>
          <t>1.2 l</t>
        </is>
      </c>
      <c r="E236" s="32" t="n">
        <v>1.5</v>
      </c>
      <c r="F236" s="32" t="n"/>
      <c r="G236" s="32" t="n">
        <v>1.45</v>
      </c>
      <c r="H236" s="32" t="n"/>
      <c r="I236" s="32" t="n"/>
      <c r="J236" s="28">
        <f>IF(COUNT(E236:I236)=0,"",IF(COUNT(E236:I236)=1,"Solo dato","Ver formatos"))</f>
        <v/>
      </c>
      <c r="K236" s="31" t="inlineStr">
        <is>
          <t>Fuentes y productos en notas de precios. M: fuente indirecta.</t>
        </is>
      </c>
    </row>
    <row r="237" ht="38" customHeight="1" s="17">
      <c r="A237" s="29" t="inlineStr">
        <is>
          <t>Zumo de naranja</t>
        </is>
      </c>
      <c r="B237" s="29" t="inlineStr">
        <is>
          <t>Bebidas</t>
        </is>
      </c>
      <c r="C237" s="30" t="inlineStr">
        <is>
          <t>l</t>
        </is>
      </c>
      <c r="D237" s="31" t="inlineStr">
        <is>
          <t>M: 1 l
Co: 1 L</t>
        </is>
      </c>
      <c r="E237" s="32" t="n">
        <v>2.1</v>
      </c>
      <c r="F237" s="32" t="n"/>
      <c r="G237" s="32" t="n">
        <v>1.79</v>
      </c>
      <c r="H237" s="32" t="n"/>
      <c r="I237" s="32" t="n">
        <v>1.49</v>
      </c>
      <c r="J237" s="28">
        <f>IF(COUNT(E237:I237)=0,"",IF(COUNT(E237:I237)=1,"Solo dato",IF(E237=MIN(E237:I237),E$1,IF(F237=MIN(E237:I237),F$1,IF(G237=MIN(E237:I237),G$1,IF(H237=MIN(E237:I237),H$1,IF(I237=MIN(E237:I237),I$1,"")))))))</f>
        <v/>
      </c>
      <c r="K237" s="31" t="inlineStr">
        <is>
          <t>Fuentes y productos en notas de precios. M: fuente indirecta. Incluye oferta.</t>
        </is>
      </c>
    </row>
    <row r="238" ht="34" customHeight="1" s="17">
      <c r="A238" s="29" t="inlineStr">
        <is>
          <t>Abrillantador lavavajillas</t>
        </is>
      </c>
      <c r="B238" s="29" t="inlineStr">
        <is>
          <t>Limpieza</t>
        </is>
      </c>
      <c r="C238" s="30" t="inlineStr">
        <is>
          <t>ud</t>
        </is>
      </c>
      <c r="D238" s="31" t="inlineStr">
        <is>
          <t>0,5 L</t>
        </is>
      </c>
      <c r="E238" s="32" t="n"/>
      <c r="F238" s="32" t="n"/>
      <c r="G238" s="32" t="n">
        <v>1.12</v>
      </c>
      <c r="H238" s="32" t="n"/>
      <c r="I238" s="32" t="n">
        <v>4.9</v>
      </c>
      <c r="J238" s="28">
        <f>IF(COUNT(E238:I238)=0,"",IF(COUNT(E238:I238)=1,"Solo dato","Ver formatos"))</f>
        <v/>
      </c>
      <c r="K238" s="31" t="inlineStr">
        <is>
          <t>Fuentes y productos en notas de precios.</t>
        </is>
      </c>
    </row>
    <row r="239" ht="34" customHeight="1" s="17">
      <c r="A239" s="29" t="inlineStr">
        <is>
          <t>Ambientador</t>
        </is>
      </c>
      <c r="B239" s="29" t="inlineStr">
        <is>
          <t>Limpieza</t>
        </is>
      </c>
      <c r="C239" s="30" t="inlineStr">
        <is>
          <t>ud</t>
        </is>
      </c>
      <c r="D239" s="31" t="inlineStr">
        <is>
          <t>300 ml</t>
        </is>
      </c>
      <c r="E239" s="32" t="n"/>
      <c r="F239" s="32" t="n"/>
      <c r="G239" s="32" t="n">
        <v>2.49</v>
      </c>
      <c r="H239" s="32" t="n"/>
      <c r="I239" s="32" t="n">
        <v>4.19</v>
      </c>
      <c r="J239" s="28">
        <f>IF(COUNT(E239:I239)=0,"",IF(COUNT(E239:I239)=1,"Solo dato","Ver formatos"))</f>
        <v/>
      </c>
      <c r="K239" s="31" t="inlineStr">
        <is>
          <t>Fuentes y productos en notas de precios.</t>
        </is>
      </c>
    </row>
    <row r="240" ht="38" customHeight="1" s="17">
      <c r="A240" s="29" t="inlineStr">
        <is>
          <t>Bayetas</t>
        </is>
      </c>
      <c r="B240" s="29" t="inlineStr">
        <is>
          <t>Limpieza</t>
        </is>
      </c>
      <c r="C240" s="30" t="inlineStr">
        <is>
          <t>ud</t>
        </is>
      </c>
      <c r="D240" s="31" t="inlineStr">
        <is>
          <t>C: Envase/pieza publicado; ver nota
Co: 3 U</t>
        </is>
      </c>
      <c r="E240" s="32" t="n"/>
      <c r="F240" s="32" t="n"/>
      <c r="G240" s="32" t="n">
        <v>0.77</v>
      </c>
      <c r="H240" s="32" t="n">
        <v>1.67</v>
      </c>
      <c r="I240" s="32" t="n">
        <v>1.49</v>
      </c>
      <c r="J240" s="28">
        <f>IF(COUNT(E240:I240)=0,"",IF(COUNT(E240:I240)=1,"Solo dato","Ver formatos"))</f>
        <v/>
      </c>
      <c r="K240" s="31" t="inlineStr">
        <is>
          <t>Fuentes y productos en notas de precios. Incluye oferta.</t>
        </is>
      </c>
    </row>
    <row r="241" ht="53" customHeight="1" s="17">
      <c r="A241" s="29" t="inlineStr">
        <is>
          <t>Bolsas de basura</t>
        </is>
      </c>
      <c r="B241" s="29" t="inlineStr">
        <is>
          <t>Limpieza</t>
        </is>
      </c>
      <c r="C241" s="30" t="inlineStr">
        <is>
          <t>ud</t>
        </is>
      </c>
      <c r="D241" s="31" t="inlineStr">
        <is>
          <t>M: 1 ud
C: 30 l
Co: 40 U</t>
        </is>
      </c>
      <c r="E241" s="32" t="n">
        <v>2.3</v>
      </c>
      <c r="F241" s="32" t="n"/>
      <c r="G241" s="32" t="n">
        <v>2.15</v>
      </c>
      <c r="H241" s="32" t="n">
        <v>1.8</v>
      </c>
      <c r="I241" s="32" t="n">
        <v>1.4</v>
      </c>
      <c r="J241" s="28">
        <f>IF(COUNT(E241:I241)=0,"",IF(COUNT(E241:I241)=1,"Solo dato","Ver formatos"))</f>
        <v/>
      </c>
      <c r="K241" s="31" t="inlineStr">
        <is>
          <t>Fuentes y productos en notas de precios. M: fuente indirecta.</t>
        </is>
      </c>
    </row>
    <row r="242" ht="38" customHeight="1" s="17">
      <c r="A242" s="29" t="inlineStr">
        <is>
          <t>Bolsas de congelación</t>
        </is>
      </c>
      <c r="B242" s="29" t="inlineStr">
        <is>
          <t>Limpieza</t>
        </is>
      </c>
      <c r="C242" s="30" t="inlineStr">
        <is>
          <t>ud</t>
        </is>
      </c>
      <c r="D242" s="31" t="inlineStr">
        <is>
          <t>M: 1 ud
Co: 40 U</t>
        </is>
      </c>
      <c r="E242" s="32" t="n">
        <v>0.85</v>
      </c>
      <c r="F242" s="32" t="n"/>
      <c r="G242" s="32" t="n">
        <v>1.37</v>
      </c>
      <c r="H242" s="32" t="n"/>
      <c r="I242" s="32" t="n">
        <v>0.95</v>
      </c>
      <c r="J242" s="28">
        <f>IF(COUNT(E242:I242)=0,"",IF(COUNT(E242:I242)=1,"Solo dato","Ver formatos"))</f>
        <v/>
      </c>
      <c r="K242" s="31" t="inlineStr">
        <is>
          <t>Fuentes y productos en notas de precios. M: fuente indirecta.</t>
        </is>
      </c>
    </row>
    <row r="243" ht="15" customHeight="1" s="17">
      <c r="A243" s="29" t="inlineStr">
        <is>
          <t>Desengrasante</t>
        </is>
      </c>
      <c r="B243" s="29" t="inlineStr">
        <is>
          <t>Limpieza</t>
        </is>
      </c>
      <c r="C243" s="30" t="inlineStr">
        <is>
          <t>ud</t>
        </is>
      </c>
      <c r="D243" s="31" t="n"/>
      <c r="E243" s="32" t="n"/>
      <c r="F243" s="32" t="n"/>
      <c r="G243" s="32" t="n"/>
      <c r="H243" s="32" t="n"/>
      <c r="I243" s="32" t="n"/>
      <c r="J243" s="28">
        <f>IF(COUNT(E243:I243)=0,"",INDEX($E$1:$I$1,MATCH(MIN(E243:I243),E243:I243,0)))</f>
        <v/>
      </c>
      <c r="K243" s="31" t="n"/>
    </row>
    <row r="244" ht="53" customHeight="1" s="17">
      <c r="A244" s="29" t="inlineStr">
        <is>
          <t>Detergente</t>
        </is>
      </c>
      <c r="B244" s="29" t="inlineStr">
        <is>
          <t>Limpieza</t>
        </is>
      </c>
      <c r="C244" s="30" t="inlineStr">
        <is>
          <t>ud</t>
        </is>
      </c>
      <c r="D244" s="31" t="inlineStr">
        <is>
          <t>M: 3 l
C: Envase/pieza publicado; ver nota
Co: 25 Lv</t>
        </is>
      </c>
      <c r="E244" s="32" t="n">
        <v>3.5</v>
      </c>
      <c r="F244" s="32" t="n"/>
      <c r="G244" s="32" t="n">
        <v>3.39</v>
      </c>
      <c r="H244" s="32" t="n">
        <v>3.09</v>
      </c>
      <c r="I244" s="32" t="n">
        <v>3.35</v>
      </c>
      <c r="J244" s="28">
        <f>IF(COUNT(E244:I244)=0,"",IF(COUNT(E244:I244)=1,"Solo dato","Ver formatos"))</f>
        <v/>
      </c>
      <c r="K244" s="31" t="inlineStr">
        <is>
          <t>Fuentes y productos en notas de precios. M: fuente indirecta.</t>
        </is>
      </c>
    </row>
    <row r="245" ht="38" customHeight="1" s="17">
      <c r="A245" s="29" t="inlineStr">
        <is>
          <t>Estropajos</t>
        </is>
      </c>
      <c r="B245" s="29" t="inlineStr">
        <is>
          <t>Limpieza</t>
        </is>
      </c>
      <c r="C245" s="30" t="inlineStr">
        <is>
          <t>ud</t>
        </is>
      </c>
      <c r="D245" s="31" t="inlineStr">
        <is>
          <t>C: Envase/pieza publicado; ver nota
Co: 3 U</t>
        </is>
      </c>
      <c r="E245" s="32" t="n"/>
      <c r="F245" s="32" t="n"/>
      <c r="G245" s="32" t="n">
        <v>1.45</v>
      </c>
      <c r="H245" s="32" t="n">
        <v>0.75</v>
      </c>
      <c r="I245" s="32" t="n">
        <v>0.75</v>
      </c>
      <c r="J245" s="28">
        <f>IF(COUNT(E245:I245)=0,"",IF(COUNT(E245:I245)=1,"Solo dato","Ver formatos"))</f>
        <v/>
      </c>
      <c r="K245" s="31" t="inlineStr">
        <is>
          <t>Fuentes y productos en notas de precios.</t>
        </is>
      </c>
    </row>
    <row r="246" ht="34" customHeight="1" s="17">
      <c r="A246" s="29" t="inlineStr">
        <is>
          <t>Fregona</t>
        </is>
      </c>
      <c r="B246" s="29" t="inlineStr">
        <is>
          <t>Limpieza</t>
        </is>
      </c>
      <c r="C246" s="30" t="inlineStr">
        <is>
          <t>ud</t>
        </is>
      </c>
      <c r="D246" s="31" t="inlineStr">
        <is>
          <t>1 U</t>
        </is>
      </c>
      <c r="E246" s="32" t="n"/>
      <c r="F246" s="32" t="n"/>
      <c r="G246" s="32" t="n">
        <v>2.99</v>
      </c>
      <c r="H246" s="32" t="n"/>
      <c r="I246" s="32" t="n">
        <v>1.1</v>
      </c>
      <c r="J246" s="28">
        <f>IF(COUNT(E246:I246)=0,"",IF(COUNT(E246:I246)=1,"Solo dato","Ver formatos"))</f>
        <v/>
      </c>
      <c r="K246" s="31" t="inlineStr">
        <is>
          <t>Fuentes y productos en notas de precios.</t>
        </is>
      </c>
    </row>
    <row r="247" ht="34" customHeight="1" s="17">
      <c r="A247" s="29" t="inlineStr">
        <is>
          <t>Friegasuelos</t>
        </is>
      </c>
      <c r="B247" s="29" t="inlineStr">
        <is>
          <t>Limpieza</t>
        </is>
      </c>
      <c r="C247" s="30" t="inlineStr">
        <is>
          <t>ud</t>
        </is>
      </c>
      <c r="D247" s="31" t="inlineStr">
        <is>
          <t>1,5 L</t>
        </is>
      </c>
      <c r="E247" s="32" t="n"/>
      <c r="F247" s="32" t="n"/>
      <c r="G247" s="32" t="n">
        <v>0.89</v>
      </c>
      <c r="H247" s="32" t="n"/>
      <c r="I247" s="32" t="n">
        <v>0.95</v>
      </c>
      <c r="J247" s="28">
        <f>IF(COUNT(E247:I247)=0,"",IF(COUNT(E247:I247)=1,"Solo dato","Ver formatos"))</f>
        <v/>
      </c>
      <c r="K247" s="31" t="inlineStr">
        <is>
          <t>Fuentes y productos en notas de precios.</t>
        </is>
      </c>
    </row>
    <row r="248" ht="34" customHeight="1" s="17">
      <c r="A248" s="29" t="inlineStr">
        <is>
          <t>Gel WC</t>
        </is>
      </c>
      <c r="B248" s="29" t="inlineStr">
        <is>
          <t>Limpieza</t>
        </is>
      </c>
      <c r="C248" s="30" t="inlineStr">
        <is>
          <t>ud</t>
        </is>
      </c>
      <c r="D248" s="31" t="inlineStr">
        <is>
          <t>1 L</t>
        </is>
      </c>
      <c r="E248" s="32" t="n"/>
      <c r="F248" s="32" t="n"/>
      <c r="G248" s="32" t="n">
        <v>0.89</v>
      </c>
      <c r="H248" s="32" t="n"/>
      <c r="I248" s="32" t="n">
        <v>1.15</v>
      </c>
      <c r="J248" s="28">
        <f>IF(COUNT(E248:I248)=0,"",IF(COUNT(E248:I248)=1,"Solo dato","Ver formatos"))</f>
        <v/>
      </c>
      <c r="K248" s="31" t="inlineStr">
        <is>
          <t>Fuentes y productos en notas de precios.</t>
        </is>
      </c>
    </row>
    <row r="249" ht="38" customHeight="1" s="17">
      <c r="A249" s="29" t="inlineStr">
        <is>
          <t>Guantes de limpieza</t>
        </is>
      </c>
      <c r="B249" s="29" t="inlineStr">
        <is>
          <t>Limpieza</t>
        </is>
      </c>
      <c r="C249" s="30" t="inlineStr">
        <is>
          <t>ud</t>
        </is>
      </c>
      <c r="D249" s="31" t="inlineStr">
        <is>
          <t>M: 50 ud
Co: 50 U</t>
        </is>
      </c>
      <c r="E249" s="32" t="n">
        <v>3</v>
      </c>
      <c r="F249" s="32" t="n"/>
      <c r="G249" s="32" t="n"/>
      <c r="H249" s="32" t="n"/>
      <c r="I249" s="32" t="n">
        <v>3.1</v>
      </c>
      <c r="J249" s="28">
        <f>IF(COUNT(E249:I249)=0,"",IF(COUNT(E249:I249)=1,"Solo dato",IF(E249=MIN(E249:I249),E$1,IF(F249=MIN(E249:I249),F$1,IF(G249=MIN(E249:I249),G$1,IF(H249=MIN(E249:I249),H$1,IF(I249=MIN(E249:I249),I$1,"")))))))</f>
        <v/>
      </c>
      <c r="K249" s="31" t="inlineStr">
        <is>
          <t>Fuentes y productos en notas de precios. M: fuente indirecta.</t>
        </is>
      </c>
    </row>
    <row r="250" ht="34" customHeight="1" s="17">
      <c r="A250" s="29" t="inlineStr">
        <is>
          <t>Insecticida</t>
        </is>
      </c>
      <c r="B250" s="29" t="inlineStr">
        <is>
          <t>Limpieza</t>
        </is>
      </c>
      <c r="C250" s="30" t="inlineStr">
        <is>
          <t>ud</t>
        </is>
      </c>
      <c r="D250" s="31" t="inlineStr">
        <is>
          <t>400 ml</t>
        </is>
      </c>
      <c r="E250" s="32" t="n"/>
      <c r="F250" s="32" t="n"/>
      <c r="G250" s="32" t="n">
        <v>2.25</v>
      </c>
      <c r="H250" s="32" t="n"/>
      <c r="I250" s="32" t="n">
        <v>6.65</v>
      </c>
      <c r="J250" s="28">
        <f>IF(COUNT(E250:I250)=0,"",IF(COUNT(E250:I250)=1,"Solo dato","Ver formatos"))</f>
        <v/>
      </c>
      <c r="K250" s="31" t="inlineStr">
        <is>
          <t>Fuentes y productos en notas de precios. Incluye oferta.</t>
        </is>
      </c>
    </row>
    <row r="251" ht="34" customHeight="1" s="17">
      <c r="A251" s="29" t="inlineStr">
        <is>
          <t>Lavavajillas a mano</t>
        </is>
      </c>
      <c r="B251" s="29" t="inlineStr">
        <is>
          <t>Limpieza</t>
        </is>
      </c>
      <c r="C251" s="30" t="inlineStr">
        <is>
          <t>ud</t>
        </is>
      </c>
      <c r="D251" s="31" t="inlineStr">
        <is>
          <t>1 l</t>
        </is>
      </c>
      <c r="E251" s="32" t="n"/>
      <c r="F251" s="32" t="n"/>
      <c r="G251" s="32" t="n">
        <v>0.99</v>
      </c>
      <c r="H251" s="32" t="n">
        <v>1.45</v>
      </c>
      <c r="I251" s="32" t="n"/>
      <c r="J251" s="28">
        <f>IF(COUNT(E251:I251)=0,"",IF(COUNT(E251:I251)=1,"Solo dato","Ver formatos"))</f>
        <v/>
      </c>
      <c r="K251" s="31" t="inlineStr">
        <is>
          <t>Fuentes y productos en notas de precios.</t>
        </is>
      </c>
    </row>
    <row r="252" ht="15" customHeight="1" s="17">
      <c r="A252" s="29" t="inlineStr">
        <is>
          <t>Lejía</t>
        </is>
      </c>
      <c r="B252" s="29" t="inlineStr">
        <is>
          <t>Limpieza</t>
        </is>
      </c>
      <c r="C252" s="30" t="inlineStr">
        <is>
          <t>ud</t>
        </is>
      </c>
      <c r="D252" s="31" t="n"/>
      <c r="E252" s="32" t="n"/>
      <c r="F252" s="32" t="n"/>
      <c r="G252" s="32" t="n">
        <v>1.79</v>
      </c>
      <c r="H252" s="32" t="n"/>
      <c r="I252" s="32" t="n"/>
      <c r="J252" s="28">
        <f>IF(COUNT(E252:I252)=0,"",INDEX($E$1:$I$1,MATCH(MIN(E252:I252),E252:I252,0)))</f>
        <v/>
      </c>
      <c r="K252" s="31" t="n"/>
    </row>
    <row r="253" ht="15" customHeight="1" s="17">
      <c r="A253" s="29" t="inlineStr">
        <is>
          <t>Limpiacristales</t>
        </is>
      </c>
      <c r="B253" s="29" t="inlineStr">
        <is>
          <t>Limpieza</t>
        </is>
      </c>
      <c r="C253" s="30" t="inlineStr">
        <is>
          <t>ud</t>
        </is>
      </c>
      <c r="D253" s="31" t="n"/>
      <c r="E253" s="32" t="n"/>
      <c r="F253" s="32" t="n"/>
      <c r="G253" s="32" t="n">
        <v>0.95</v>
      </c>
      <c r="H253" s="32" t="n"/>
      <c r="I253" s="32" t="n"/>
      <c r="J253" s="28">
        <f>IF(COUNT(E253:I253)=0,"",INDEX($E$1:$I$1,MATCH(MIN(E253:I253),E253:I253,0)))</f>
        <v/>
      </c>
      <c r="K253" s="31" t="n"/>
    </row>
    <row r="254" ht="15" customHeight="1" s="17">
      <c r="A254" s="29" t="inlineStr">
        <is>
          <t>Limpiador de baño</t>
        </is>
      </c>
      <c r="B254" s="29" t="inlineStr">
        <is>
          <t>Limpieza</t>
        </is>
      </c>
      <c r="C254" s="30" t="inlineStr">
        <is>
          <t>ud</t>
        </is>
      </c>
      <c r="D254" s="31" t="n"/>
      <c r="E254" s="32" t="n"/>
      <c r="F254" s="32" t="n"/>
      <c r="G254" s="32" t="n"/>
      <c r="H254" s="32" t="n"/>
      <c r="I254" s="32" t="n"/>
      <c r="J254" s="28">
        <f>IF(COUNT(E254:I254)=0,"",INDEX($E$1:$I$1,MATCH(MIN(E254:I254),E254:I254,0)))</f>
        <v/>
      </c>
      <c r="K254" s="31" t="n"/>
    </row>
    <row r="255" ht="34" customHeight="1" s="17">
      <c r="A255" s="29" t="inlineStr">
        <is>
          <t>Multiusos</t>
        </is>
      </c>
      <c r="B255" s="29" t="inlineStr">
        <is>
          <t>Limpieza</t>
        </is>
      </c>
      <c r="C255" s="30" t="inlineStr">
        <is>
          <t>ud</t>
        </is>
      </c>
      <c r="D255" s="31" t="inlineStr">
        <is>
          <t>0,5 L</t>
        </is>
      </c>
      <c r="E255" s="32" t="n"/>
      <c r="F255" s="32" t="n"/>
      <c r="G255" s="32" t="n">
        <v>1.55</v>
      </c>
      <c r="H255" s="32" t="n"/>
      <c r="I255" s="32" t="n">
        <v>3.65</v>
      </c>
      <c r="J255" s="28">
        <f>IF(COUNT(E255:I255)=0,"",IF(COUNT(E255:I255)=1,"Solo dato","Ver formatos"))</f>
        <v/>
      </c>
      <c r="K255" s="31" t="inlineStr">
        <is>
          <t>Fuentes y productos en notas de precios. Incluye oferta.</t>
        </is>
      </c>
    </row>
    <row r="256" ht="15" customHeight="1" s="17">
      <c r="A256" s="29" t="inlineStr">
        <is>
          <t>Papel de aluminio</t>
        </is>
      </c>
      <c r="B256" s="29" t="inlineStr">
        <is>
          <t>Limpieza</t>
        </is>
      </c>
      <c r="C256" s="30" t="inlineStr">
        <is>
          <t>ud</t>
        </is>
      </c>
      <c r="D256" s="31" t="n"/>
      <c r="E256" s="32" t="n"/>
      <c r="F256" s="32" t="n"/>
      <c r="G256" s="32" t="n">
        <v>2.15</v>
      </c>
      <c r="H256" s="32" t="n"/>
      <c r="I256" s="32" t="n"/>
      <c r="J256" s="28">
        <f>IF(COUNT(E256:I256)=0,"",INDEX($E$1:$I$1,MATCH(MIN(E256:I256),E256:I256,0)))</f>
        <v/>
      </c>
      <c r="K256" s="31" t="n"/>
    </row>
    <row r="257" ht="38" customHeight="1" s="17">
      <c r="A257" s="29" t="inlineStr">
        <is>
          <t>Papel de cocina</t>
        </is>
      </c>
      <c r="B257" s="29" t="inlineStr">
        <is>
          <t>Limpieza</t>
        </is>
      </c>
      <c r="C257" s="30" t="inlineStr">
        <is>
          <t>ud</t>
        </is>
      </c>
      <c r="D257" s="31" t="inlineStr">
        <is>
          <t>C: Envase/pieza publicado; ver nota
Co: 4 U</t>
        </is>
      </c>
      <c r="E257" s="32" t="n"/>
      <c r="F257" s="32" t="n"/>
      <c r="G257" s="32" t="n">
        <v>2.12</v>
      </c>
      <c r="H257" s="32" t="n">
        <v>2.89</v>
      </c>
      <c r="I257" s="32" t="n">
        <v>2.19</v>
      </c>
      <c r="J257" s="28">
        <f>IF(COUNT(E257:I257)=0,"",IF(COUNT(E257:I257)=1,"Solo dato","Ver formatos"))</f>
        <v/>
      </c>
      <c r="K257" s="31" t="inlineStr">
        <is>
          <t>Fuentes y productos en notas de precios.</t>
        </is>
      </c>
    </row>
    <row r="258" ht="34" customHeight="1" s="17">
      <c r="A258" s="29" t="inlineStr">
        <is>
          <t>Papel de horno</t>
        </is>
      </c>
      <c r="B258" s="29" t="inlineStr">
        <is>
          <t>Limpieza</t>
        </is>
      </c>
      <c r="C258" s="30" t="inlineStr">
        <is>
          <t>ud</t>
        </is>
      </c>
      <c r="D258" s="31" t="inlineStr">
        <is>
          <t>8 M</t>
        </is>
      </c>
      <c r="E258" s="32" t="n"/>
      <c r="F258" s="32" t="n"/>
      <c r="G258" s="32" t="n">
        <v>1.65</v>
      </c>
      <c r="H258" s="32" t="n"/>
      <c r="I258" s="32" t="n">
        <v>3.15</v>
      </c>
      <c r="J258" s="28">
        <f>IF(COUNT(E258:I258)=0,"",IF(COUNT(E258:I258)=1,"Solo dato","Ver formatos"))</f>
        <v/>
      </c>
      <c r="K258" s="31" t="inlineStr">
        <is>
          <t>Fuentes y productos en notas de precios.</t>
        </is>
      </c>
    </row>
    <row r="259" ht="34" customHeight="1" s="17">
      <c r="A259" s="29" t="inlineStr">
        <is>
          <t>Papel film</t>
        </is>
      </c>
      <c r="B259" s="29" t="inlineStr">
        <is>
          <t>Limpieza</t>
        </is>
      </c>
      <c r="C259" s="30" t="inlineStr">
        <is>
          <t>ud</t>
        </is>
      </c>
      <c r="D259" s="31" t="inlineStr">
        <is>
          <t>80 M</t>
        </is>
      </c>
      <c r="E259" s="32" t="n"/>
      <c r="F259" s="32" t="n"/>
      <c r="G259" s="32" t="n"/>
      <c r="H259" s="32" t="n"/>
      <c r="I259" s="32" t="n">
        <v>1.65</v>
      </c>
      <c r="J259" s="28">
        <f>IF(COUNT(E259:I259)=0,"",IF(COUNT(E259:I259)=1,"Solo dato","Ver formatos"))</f>
        <v/>
      </c>
      <c r="K259" s="31" t="inlineStr">
        <is>
          <t>Fuentes y productos en notas de precios.</t>
        </is>
      </c>
    </row>
    <row r="260" ht="34" customHeight="1" s="17">
      <c r="A260" s="29" t="inlineStr">
        <is>
          <t>Pastillas lavavajillas</t>
        </is>
      </c>
      <c r="B260" s="29" t="inlineStr">
        <is>
          <t>Limpieza</t>
        </is>
      </c>
      <c r="C260" s="30" t="inlineStr">
        <is>
          <t>ud</t>
        </is>
      </c>
      <c r="D260" s="31" t="inlineStr">
        <is>
          <t>30 ud</t>
        </is>
      </c>
      <c r="E260" s="32" t="n"/>
      <c r="F260" s="32" t="n"/>
      <c r="G260" s="32" t="n"/>
      <c r="H260" s="32" t="n">
        <v>3.35</v>
      </c>
      <c r="I260" s="32" t="n"/>
      <c r="J260" s="28">
        <f>IF(COUNT(E260:I260)=0,"",IF(COUNT(E260:I260)=1,"Solo dato","Ver formatos"))</f>
        <v/>
      </c>
      <c r="K260" s="31" t="inlineStr">
        <is>
          <t>Fuentes y productos en notas de precios.</t>
        </is>
      </c>
    </row>
    <row r="261" ht="34" customHeight="1" s="17">
      <c r="A261" s="29" t="inlineStr">
        <is>
          <t>Pinzas de ropa</t>
        </is>
      </c>
      <c r="B261" s="29" t="inlineStr">
        <is>
          <t>Limpieza</t>
        </is>
      </c>
      <c r="C261" s="30" t="inlineStr">
        <is>
          <t>ud</t>
        </is>
      </c>
      <c r="D261" s="31" t="inlineStr">
        <is>
          <t>24 ud</t>
        </is>
      </c>
      <c r="E261" s="32" t="n">
        <v>1.5</v>
      </c>
      <c r="F261" s="32" t="n"/>
      <c r="G261" s="32" t="n"/>
      <c r="H261" s="32" t="n"/>
      <c r="I261" s="32" t="n"/>
      <c r="J261" s="28">
        <f>IF(COUNT(E261:I261)=0,"",IF(COUNT(E261:I261)=1,"Solo dato","Ver formatos"))</f>
        <v/>
      </c>
      <c r="K261" s="31" t="inlineStr">
        <is>
          <t>Fuentes y productos en notas de precios. M: fuente indirecta.</t>
        </is>
      </c>
    </row>
    <row r="262" ht="15" customHeight="1" s="17">
      <c r="A262" s="29" t="inlineStr">
        <is>
          <t>Quitagrasas</t>
        </is>
      </c>
      <c r="B262" s="29" t="inlineStr">
        <is>
          <t>Limpieza</t>
        </is>
      </c>
      <c r="C262" s="30" t="inlineStr">
        <is>
          <t>ud</t>
        </is>
      </c>
      <c r="D262" s="31" t="n"/>
      <c r="E262" s="32" t="n"/>
      <c r="F262" s="32" t="n"/>
      <c r="G262" s="32" t="n">
        <v>1.59</v>
      </c>
      <c r="H262" s="32" t="n"/>
      <c r="I262" s="32" t="n"/>
      <c r="J262" s="28">
        <f>IF(COUNT(E262:I262)=0,"",INDEX($E$1:$I$1,MATCH(MIN(E262:I262),E262:I262,0)))</f>
        <v/>
      </c>
      <c r="K262" s="31" t="n"/>
    </row>
    <row r="263" ht="34" customHeight="1" s="17">
      <c r="A263" s="29" t="inlineStr">
        <is>
          <t>Quitamanchas</t>
        </is>
      </c>
      <c r="B263" s="29" t="inlineStr">
        <is>
          <t>Limpieza</t>
        </is>
      </c>
      <c r="C263" s="30" t="inlineStr">
        <is>
          <t>ud</t>
        </is>
      </c>
      <c r="D263" s="31" t="inlineStr">
        <is>
          <t>0,95 L</t>
        </is>
      </c>
      <c r="E263" s="32" t="n"/>
      <c r="F263" s="32" t="n"/>
      <c r="G263" s="32" t="n">
        <v>1.89</v>
      </c>
      <c r="H263" s="32" t="n"/>
      <c r="I263" s="32" t="n">
        <v>3.6</v>
      </c>
      <c r="J263" s="28">
        <f>IF(COUNT(E263:I263)=0,"",IF(COUNT(E263:I263)=1,"Solo dato","Ver formatos"))</f>
        <v/>
      </c>
      <c r="K263" s="31" t="inlineStr">
        <is>
          <t>Fuentes y productos en notas de precios. Incluye oferta.</t>
        </is>
      </c>
    </row>
    <row r="264" ht="34" customHeight="1" s="17">
      <c r="A264" s="29" t="inlineStr">
        <is>
          <t>Sal lavavajillas</t>
        </is>
      </c>
      <c r="B264" s="29" t="inlineStr">
        <is>
          <t>Limpieza</t>
        </is>
      </c>
      <c r="C264" s="30" t="inlineStr">
        <is>
          <t>ud</t>
        </is>
      </c>
      <c r="D264" s="31" t="inlineStr">
        <is>
          <t>2 Kg</t>
        </is>
      </c>
      <c r="E264" s="32" t="n"/>
      <c r="F264" s="32" t="n"/>
      <c r="G264" s="32" t="n"/>
      <c r="H264" s="32" t="n"/>
      <c r="I264" s="32" t="n">
        <v>6.99</v>
      </c>
      <c r="J264" s="28">
        <f>IF(COUNT(E264:I264)=0,"",IF(COUNT(E264:I264)=1,"Solo dato","Ver formatos"))</f>
        <v/>
      </c>
      <c r="K264" s="31" t="inlineStr">
        <is>
          <t>Fuentes y productos en notas de precios.</t>
        </is>
      </c>
    </row>
    <row r="265" ht="53" customHeight="1" s="17">
      <c r="A265" s="29" t="inlineStr">
        <is>
          <t>Suavizante</t>
        </is>
      </c>
      <c r="B265" s="29" t="inlineStr">
        <is>
          <t>Limpieza</t>
        </is>
      </c>
      <c r="C265" s="30" t="inlineStr">
        <is>
          <t>ud</t>
        </is>
      </c>
      <c r="D265" s="31" t="inlineStr">
        <is>
          <t>M: 1.6 l
C: Envase/pieza publicado; ver nota
Co: 60 Lv</t>
        </is>
      </c>
      <c r="E265" s="32" t="n">
        <v>1.8</v>
      </c>
      <c r="F265" s="32" t="n"/>
      <c r="G265" s="32" t="n">
        <v>1.69</v>
      </c>
      <c r="H265" s="32" t="n">
        <v>1.8</v>
      </c>
      <c r="I265" s="32" t="n">
        <v>2.39</v>
      </c>
      <c r="J265" s="28">
        <f>IF(COUNT(E265:I265)=0,"",IF(COUNT(E265:I265)=1,"Solo dato","Ver formatos"))</f>
        <v/>
      </c>
      <c r="K265" s="31" t="inlineStr">
        <is>
          <t>Fuentes y productos en notas de precios. M: fuente indirecta.</t>
        </is>
      </c>
    </row>
    <row r="266" ht="38" customHeight="1" s="17">
      <c r="A266" s="29" t="inlineStr">
        <is>
          <t>Acondicionador</t>
        </is>
      </c>
      <c r="B266" s="29" t="inlineStr">
        <is>
          <t>Higiene y cuidado</t>
        </is>
      </c>
      <c r="C266" s="30" t="inlineStr">
        <is>
          <t>ud</t>
        </is>
      </c>
      <c r="D266" s="31" t="inlineStr">
        <is>
          <t>M: 0.25 l
C: 300 ml</t>
        </is>
      </c>
      <c r="E266" s="32" t="n">
        <v>2.5</v>
      </c>
      <c r="F266" s="32" t="n"/>
      <c r="G266" s="32" t="n">
        <v>2.19</v>
      </c>
      <c r="H266" s="32" t="n">
        <v>4.75</v>
      </c>
      <c r="I266" s="32" t="n"/>
      <c r="J266" s="28">
        <f>IF(COUNT(E266:I266)=0,"",IF(COUNT(E266:I266)=1,"Solo dato","Ver formatos"))</f>
        <v/>
      </c>
      <c r="K266" s="31" t="inlineStr">
        <is>
          <t>Fuentes y productos en notas de precios. M: fuente indirecta.</t>
        </is>
      </c>
    </row>
    <row r="267" ht="34" customHeight="1" s="17">
      <c r="A267" s="29" t="inlineStr">
        <is>
          <t>Algodón</t>
        </is>
      </c>
      <c r="B267" s="29" t="inlineStr">
        <is>
          <t>Higiene y cuidado</t>
        </is>
      </c>
      <c r="C267" s="30" t="inlineStr">
        <is>
          <t>ud</t>
        </is>
      </c>
      <c r="D267" s="31" t="inlineStr">
        <is>
          <t>100 ud</t>
        </is>
      </c>
      <c r="E267" s="32" t="n"/>
      <c r="F267" s="32" t="n"/>
      <c r="G267" s="32" t="n">
        <v>1.39</v>
      </c>
      <c r="H267" s="32" t="n">
        <v>1.99</v>
      </c>
      <c r="I267" s="32" t="n"/>
      <c r="J267" s="28">
        <f>IF(COUNT(E267:I267)=0,"",IF(COUNT(E267:I267)=1,"Solo dato","Ver formatos"))</f>
        <v/>
      </c>
      <c r="K267" s="31" t="inlineStr">
        <is>
          <t>Fuentes y productos en notas de precios.</t>
        </is>
      </c>
    </row>
    <row r="268" ht="34" customHeight="1" s="17">
      <c r="A268" s="29" t="inlineStr">
        <is>
          <t>Bastoncillos</t>
        </is>
      </c>
      <c r="B268" s="29" t="inlineStr">
        <is>
          <t>Higiene y cuidado</t>
        </is>
      </c>
      <c r="C268" s="30" t="inlineStr">
        <is>
          <t>ud</t>
        </is>
      </c>
      <c r="D268" s="31" t="inlineStr">
        <is>
          <t>300 ud</t>
        </is>
      </c>
      <c r="E268" s="32" t="n"/>
      <c r="F268" s="32" t="n"/>
      <c r="G268" s="32" t="n">
        <v>1.09</v>
      </c>
      <c r="H268" s="32" t="n">
        <v>1.35</v>
      </c>
      <c r="I268" s="32" t="n"/>
      <c r="J268" s="28">
        <f>IF(COUNT(E268:I268)=0,"",IF(COUNT(E268:I268)=1,"Solo dato","Ver formatos"))</f>
        <v/>
      </c>
      <c r="K268" s="31" t="inlineStr">
        <is>
          <t>Fuentes y productos en notas de precios.</t>
        </is>
      </c>
    </row>
    <row r="269" ht="15" customHeight="1" s="17">
      <c r="A269" s="29" t="inlineStr">
        <is>
          <t>Cepillo de dientes</t>
        </is>
      </c>
      <c r="B269" s="29" t="inlineStr">
        <is>
          <t>Higiene y cuidado</t>
        </is>
      </c>
      <c r="C269" s="30" t="inlineStr">
        <is>
          <t>ud</t>
        </is>
      </c>
      <c r="D269" s="31" t="n"/>
      <c r="E269" s="32" t="n"/>
      <c r="F269" s="32" t="n"/>
      <c r="G269" s="32" t="n">
        <v>0.57</v>
      </c>
      <c r="H269" s="32" t="n"/>
      <c r="I269" s="32" t="n"/>
      <c r="J269" s="28">
        <f>IF(COUNT(E269:I269)=0,"",INDEX($E$1:$I$1,MATCH(MIN(E269:I269),E269:I269,0)))</f>
        <v/>
      </c>
      <c r="K269" s="31" t="n"/>
    </row>
    <row r="270" ht="38" customHeight="1" s="17">
      <c r="A270" s="29" t="inlineStr">
        <is>
          <t>Champú</t>
        </is>
      </c>
      <c r="B270" s="29" t="inlineStr">
        <is>
          <t>Higiene y cuidado</t>
        </is>
      </c>
      <c r="C270" s="30" t="inlineStr">
        <is>
          <t>ud</t>
        </is>
      </c>
      <c r="D270" s="31" t="inlineStr">
        <is>
          <t>M: 1 l
C: 400 ml</t>
        </is>
      </c>
      <c r="E270" s="32" t="n">
        <v>1.35</v>
      </c>
      <c r="F270" s="32" t="n"/>
      <c r="G270" s="32" t="n">
        <v>1.29</v>
      </c>
      <c r="H270" s="32" t="n">
        <v>4.59</v>
      </c>
      <c r="I270" s="32" t="n"/>
      <c r="J270" s="28">
        <f>IF(COUNT(E270:I270)=0,"",IF(COUNT(E270:I270)=1,"Solo dato","Ver formatos"))</f>
        <v/>
      </c>
      <c r="K270" s="31" t="inlineStr">
        <is>
          <t>Fuentes y productos en notas de precios. M: fuente indirecta.</t>
        </is>
      </c>
    </row>
    <row r="271" ht="15" customHeight="1" s="17">
      <c r="A271" s="29" t="inlineStr">
        <is>
          <t>Colonia</t>
        </is>
      </c>
      <c r="B271" s="29" t="inlineStr">
        <is>
          <t>Higiene y cuidado</t>
        </is>
      </c>
      <c r="C271" s="30" t="inlineStr">
        <is>
          <t>ud</t>
        </is>
      </c>
      <c r="D271" s="31" t="n"/>
      <c r="E271" s="32" t="n"/>
      <c r="F271" s="32" t="n"/>
      <c r="G271" s="32" t="n"/>
      <c r="H271" s="32" t="n"/>
      <c r="I271" s="32" t="n"/>
      <c r="J271" s="28">
        <f>IF(COUNT(E271:I271)=0,"",INDEX($E$1:$I$1,MATCH(MIN(E271:I271),E271:I271,0)))</f>
        <v/>
      </c>
      <c r="K271" s="31" t="n"/>
    </row>
    <row r="272" ht="38" customHeight="1" s="17">
      <c r="A272" s="29" t="inlineStr">
        <is>
          <t>Compresas</t>
        </is>
      </c>
      <c r="B272" s="29" t="inlineStr">
        <is>
          <t>Higiene y cuidado</t>
        </is>
      </c>
      <c r="C272" s="30" t="inlineStr">
        <is>
          <t>ud</t>
        </is>
      </c>
      <c r="D272" s="31" t="inlineStr">
        <is>
          <t>M: 32 ud
C: 12 ud</t>
        </is>
      </c>
      <c r="E272" s="32" t="n">
        <v>2.35</v>
      </c>
      <c r="F272" s="32" t="n"/>
      <c r="G272" s="32" t="n"/>
      <c r="H272" s="32" t="n">
        <v>3.25</v>
      </c>
      <c r="I272" s="32" t="n"/>
      <c r="J272" s="28">
        <f>IF(COUNT(E272:I272)=0,"",IF(COUNT(E272:I272)=1,"Solo dato","Ver formatos"))</f>
        <v/>
      </c>
      <c r="K272" s="31" t="inlineStr">
        <is>
          <t>Fuentes y productos en notas de precios. M: fuente indirecta.</t>
        </is>
      </c>
    </row>
    <row r="273" ht="34" customHeight="1" s="17">
      <c r="A273" s="29" t="inlineStr">
        <is>
          <t>Crema hidratante</t>
        </is>
      </c>
      <c r="B273" s="29" t="inlineStr">
        <is>
          <t>Higiene y cuidado</t>
        </is>
      </c>
      <c r="C273" s="30" t="inlineStr">
        <is>
          <t>ud</t>
        </is>
      </c>
      <c r="D273" s="31" t="inlineStr">
        <is>
          <t>50 ml</t>
        </is>
      </c>
      <c r="E273" s="32" t="n"/>
      <c r="F273" s="32" t="n"/>
      <c r="G273" s="32" t="n">
        <v>5.99</v>
      </c>
      <c r="H273" s="32" t="n"/>
      <c r="I273" s="32" t="n">
        <v>1.49</v>
      </c>
      <c r="J273" s="28">
        <f>IF(COUNT(E273:I273)=0,"",IF(COUNT(E273:I273)=1,"Solo dato","Ver formatos"))</f>
        <v/>
      </c>
      <c r="K273" s="31" t="inlineStr">
        <is>
          <t>Fuentes y productos en notas de precios.</t>
        </is>
      </c>
    </row>
    <row r="274" ht="38" customHeight="1" s="17">
      <c r="A274" s="29" t="inlineStr">
        <is>
          <t>Cuchillas de afeitar</t>
        </is>
      </c>
      <c r="B274" s="29" t="inlineStr">
        <is>
          <t>Higiene y cuidado</t>
        </is>
      </c>
      <c r="C274" s="30" t="inlineStr">
        <is>
          <t>ud</t>
        </is>
      </c>
      <c r="D274" s="31" t="inlineStr">
        <is>
          <t>M: 10 ud
Co: 4 U</t>
        </is>
      </c>
      <c r="E274" s="32" t="n">
        <v>1.1</v>
      </c>
      <c r="F274" s="32" t="n"/>
      <c r="G274" s="32" t="n">
        <v>0.99</v>
      </c>
      <c r="H274" s="32" t="n"/>
      <c r="I274" s="32" t="n">
        <v>1.95</v>
      </c>
      <c r="J274" s="28">
        <f>IF(COUNT(E274:I274)=0,"",IF(COUNT(E274:I274)=1,"Solo dato","Ver formatos"))</f>
        <v/>
      </c>
      <c r="K274" s="31" t="inlineStr">
        <is>
          <t>Fuentes y productos en notas de precios. M: fuente indirecta.</t>
        </is>
      </c>
    </row>
    <row r="275" ht="34" customHeight="1" s="17">
      <c r="A275" s="29" t="inlineStr">
        <is>
          <t>Desodorante</t>
        </is>
      </c>
      <c r="B275" s="29" t="inlineStr">
        <is>
          <t>Higiene y cuidado</t>
        </is>
      </c>
      <c r="C275" s="30" t="inlineStr">
        <is>
          <t>ud</t>
        </is>
      </c>
      <c r="D275" s="31" t="inlineStr">
        <is>
          <t>50 ml</t>
        </is>
      </c>
      <c r="E275" s="32" t="n"/>
      <c r="F275" s="32" t="n"/>
      <c r="G275" s="32" t="n">
        <v>1.59</v>
      </c>
      <c r="H275" s="32" t="n">
        <v>2.65</v>
      </c>
      <c r="I275" s="32" t="n">
        <v>1.69</v>
      </c>
      <c r="J275" s="28">
        <f>IF(COUNT(E275:I275)=0,"",IF(COUNT(E275:I275)=1,"Solo dato",IF(E275=MIN(E275:I275),E$1,IF(F275=MIN(E275:I275),F$1,IF(G275=MIN(E275:I275),G$1,IF(H275=MIN(E275:I275),H$1,IF(I275=MIN(E275:I275),I$1,"")))))))</f>
        <v/>
      </c>
      <c r="K275" s="31" t="inlineStr">
        <is>
          <t>Fuentes y productos en notas de precios. Incluye oferta.</t>
        </is>
      </c>
    </row>
    <row r="276" ht="38" customHeight="1" s="17">
      <c r="A276" s="29" t="inlineStr">
        <is>
          <t>Enjuague bucal</t>
        </is>
      </c>
      <c r="B276" s="29" t="inlineStr">
        <is>
          <t>Higiene y cuidado</t>
        </is>
      </c>
      <c r="C276" s="30" t="inlineStr">
        <is>
          <t>ud</t>
        </is>
      </c>
      <c r="D276" s="31" t="inlineStr">
        <is>
          <t>C: 1 l
Co: 500 ml</t>
        </is>
      </c>
      <c r="E276" s="32" t="n"/>
      <c r="F276" s="32" t="n"/>
      <c r="G276" s="32" t="n"/>
      <c r="H276" s="32" t="n">
        <v>9.35</v>
      </c>
      <c r="I276" s="32" t="n">
        <v>5.15</v>
      </c>
      <c r="J276" s="28">
        <f>IF(COUNT(E276:I276)=0,"",IF(COUNT(E276:I276)=1,"Solo dato","Ver formatos"))</f>
        <v/>
      </c>
      <c r="K276" s="31" t="inlineStr">
        <is>
          <t>Fuentes y productos en notas de precios.</t>
        </is>
      </c>
    </row>
    <row r="277" ht="15" customHeight="1" s="17">
      <c r="A277" s="29" t="inlineStr">
        <is>
          <t>Espuma de afeitar</t>
        </is>
      </c>
      <c r="B277" s="29" t="inlineStr">
        <is>
          <t>Higiene y cuidado</t>
        </is>
      </c>
      <c r="C277" s="30" t="inlineStr">
        <is>
          <t>ud</t>
        </is>
      </c>
      <c r="D277" s="31" t="n"/>
      <c r="E277" s="32" t="n"/>
      <c r="F277" s="32" t="n"/>
      <c r="G277" s="32" t="n">
        <v>1.25</v>
      </c>
      <c r="H277" s="32" t="n"/>
      <c r="I277" s="32" t="n"/>
      <c r="J277" s="28">
        <f>IF(COUNT(E277:I277)=0,"",INDEX($E$1:$I$1,MATCH(MIN(E277:I277),E277:I277,0)))</f>
        <v/>
      </c>
      <c r="K277" s="31" t="n"/>
    </row>
    <row r="278" ht="53" customHeight="1" s="17">
      <c r="A278" s="29" t="inlineStr">
        <is>
          <t>Gel de ducha</t>
        </is>
      </c>
      <c r="B278" s="29" t="inlineStr">
        <is>
          <t>Higiene y cuidado</t>
        </is>
      </c>
      <c r="C278" s="30" t="inlineStr">
        <is>
          <t>ud</t>
        </is>
      </c>
      <c r="D278" s="31" t="inlineStr">
        <is>
          <t>M: 0.75 l
C: 1 l
Co: 750 ml</t>
        </is>
      </c>
      <c r="E278" s="32" t="n">
        <v>0.95</v>
      </c>
      <c r="F278" s="32" t="n"/>
      <c r="G278" s="32" t="n">
        <v>1.49</v>
      </c>
      <c r="H278" s="32" t="n">
        <v>1.19</v>
      </c>
      <c r="I278" s="32" t="n">
        <v>1.6</v>
      </c>
      <c r="J278" s="28">
        <f>IF(COUNT(E278:I278)=0,"",IF(COUNT(E278:I278)=1,"Solo dato","Ver formatos"))</f>
        <v/>
      </c>
      <c r="K278" s="31" t="inlineStr">
        <is>
          <t>Fuentes y productos en notas de precios. M: fuente indirecta.</t>
        </is>
      </c>
    </row>
    <row r="279" ht="15" customHeight="1" s="17">
      <c r="A279" s="29" t="inlineStr">
        <is>
          <t>Gomas del pelo</t>
        </is>
      </c>
      <c r="B279" s="29" t="inlineStr">
        <is>
          <t>Higiene y cuidado</t>
        </is>
      </c>
      <c r="C279" s="30" t="inlineStr">
        <is>
          <t>ud</t>
        </is>
      </c>
      <c r="D279" s="31" t="n"/>
      <c r="E279" s="32" t="n"/>
      <c r="F279" s="32" t="n"/>
      <c r="G279" s="32" t="n"/>
      <c r="H279" s="32" t="n"/>
      <c r="I279" s="32" t="n"/>
      <c r="J279" s="28">
        <f>IF(COUNT(E279:I279)=0,"",INDEX($E$1:$I$1,MATCH(MIN(E279:I279),E279:I279,0)))</f>
        <v/>
      </c>
      <c r="K279" s="31" t="n"/>
    </row>
    <row r="280" ht="34" customHeight="1" s="17">
      <c r="A280" s="29" t="inlineStr">
        <is>
          <t>Hilo dental</t>
        </is>
      </c>
      <c r="B280" s="29" t="inlineStr">
        <is>
          <t>Higiene y cuidado</t>
        </is>
      </c>
      <c r="C280" s="30" t="inlineStr">
        <is>
          <t>ud</t>
        </is>
      </c>
      <c r="D280" s="31" t="inlineStr">
        <is>
          <t>50 m</t>
        </is>
      </c>
      <c r="E280" s="32" t="n"/>
      <c r="F280" s="32" t="n"/>
      <c r="G280" s="32" t="n"/>
      <c r="H280" s="32" t="n">
        <v>1.8</v>
      </c>
      <c r="I280" s="32" t="n"/>
      <c r="J280" s="28">
        <f>IF(COUNT(E280:I280)=0,"",IF(COUNT(E280:I280)=1,"Solo dato","Ver formatos"))</f>
        <v/>
      </c>
      <c r="K280" s="31" t="inlineStr">
        <is>
          <t>Fuentes y productos en notas de precios.</t>
        </is>
      </c>
    </row>
    <row r="281" ht="38" customHeight="1" s="17">
      <c r="A281" s="29" t="inlineStr">
        <is>
          <t>Jabón de manos</t>
        </is>
      </c>
      <c r="B281" s="29" t="inlineStr">
        <is>
          <t>Higiene y cuidado</t>
        </is>
      </c>
      <c r="C281" s="30" t="inlineStr">
        <is>
          <t>ud</t>
        </is>
      </c>
      <c r="D281" s="31" t="inlineStr">
        <is>
          <t>M: 0.5 l
Co: 500 ml</t>
        </is>
      </c>
      <c r="E281" s="32" t="n">
        <v>0.8</v>
      </c>
      <c r="F281" s="32" t="n"/>
      <c r="G281" s="32" t="n">
        <v>0.75</v>
      </c>
      <c r="H281" s="32" t="n"/>
      <c r="I281" s="32" t="n">
        <v>0.8</v>
      </c>
      <c r="J281" s="28">
        <f>IF(COUNT(E281:I281)=0,"",IF(COUNT(E281:I281)=1,"Solo dato",IF(E281=MIN(E281:I281),E$1,IF(F281=MIN(E281:I281),F$1,IF(G281=MIN(E281:I281),G$1,IF(H281=MIN(E281:I281),H$1,IF(I281=MIN(E281:I281),I$1,"")))))))</f>
        <v/>
      </c>
      <c r="K281" s="31" t="inlineStr">
        <is>
          <t>Fuentes y productos en notas de precios. M: fuente indirecta.</t>
        </is>
      </c>
    </row>
    <row r="282" ht="38" customHeight="1" s="17">
      <c r="A282" s="29" t="inlineStr">
        <is>
          <t>Laca</t>
        </is>
      </c>
      <c r="B282" s="29" t="inlineStr">
        <is>
          <t>Higiene y cuidado</t>
        </is>
      </c>
      <c r="C282" s="30" t="inlineStr">
        <is>
          <t>ud</t>
        </is>
      </c>
      <c r="D282" s="31" t="inlineStr">
        <is>
          <t>M: 0.4 l
C: 300 ml</t>
        </is>
      </c>
      <c r="E282" s="32" t="n">
        <v>2.45</v>
      </c>
      <c r="F282" s="32" t="n"/>
      <c r="G282" s="32" t="n">
        <v>1.79</v>
      </c>
      <c r="H282" s="32" t="n">
        <v>1.42</v>
      </c>
      <c r="I282" s="32" t="n"/>
      <c r="J282" s="28">
        <f>IF(COUNT(E282:I282)=0,"",IF(COUNT(E282:I282)=1,"Solo dato","Ver formatos"))</f>
        <v/>
      </c>
      <c r="K282" s="31" t="inlineStr">
        <is>
          <t>Fuentes y productos en notas de precios. M: fuente indirecta.</t>
        </is>
      </c>
    </row>
    <row r="283" ht="38" customHeight="1" s="17">
      <c r="A283" s="29" t="inlineStr">
        <is>
          <t>Papel higiénico</t>
        </is>
      </c>
      <c r="B283" s="29" t="inlineStr">
        <is>
          <t>Higiene y cuidado</t>
        </is>
      </c>
      <c r="C283" s="30" t="inlineStr">
        <is>
          <t>ud</t>
        </is>
      </c>
      <c r="D283" s="31" t="inlineStr">
        <is>
          <t>C: 12 rollos
Co: 12 U</t>
        </is>
      </c>
      <c r="E283" s="32" t="n"/>
      <c r="F283" s="32" t="n"/>
      <c r="G283" s="32" t="n">
        <v>3.39</v>
      </c>
      <c r="H283" s="32" t="n">
        <v>4.38</v>
      </c>
      <c r="I283" s="32" t="n">
        <v>2.5</v>
      </c>
      <c r="J283" s="28">
        <f>IF(COUNT(E283:I283)=0,"",IF(COUNT(E283:I283)=1,"Solo dato",IF(E283=MIN(E283:I283),E$1,IF(F283=MIN(E283:I283),F$1,IF(G283=MIN(E283:I283),G$1,IF(H283=MIN(E283:I283),H$1,IF(I283=MIN(E283:I283),I$1,"")))))))</f>
        <v/>
      </c>
      <c r="K283" s="31" t="inlineStr">
        <is>
          <t>Fuentes y productos en notas de precios.</t>
        </is>
      </c>
    </row>
    <row r="284" ht="38" customHeight="1" s="17">
      <c r="A284" s="29" t="inlineStr">
        <is>
          <t>Pasta de dientes</t>
        </is>
      </c>
      <c r="B284" s="29" t="inlineStr">
        <is>
          <t>Higiene y cuidado</t>
        </is>
      </c>
      <c r="C284" s="30" t="inlineStr">
        <is>
          <t>ud</t>
        </is>
      </c>
      <c r="D284" s="31" t="inlineStr">
        <is>
          <t>C: 100 ml
Co: 75 ml</t>
        </is>
      </c>
      <c r="E284" s="32" t="n"/>
      <c r="F284" s="32" t="n"/>
      <c r="G284" s="32" t="n">
        <v>1.25</v>
      </c>
      <c r="H284" s="32" t="n">
        <v>1.95</v>
      </c>
      <c r="I284" s="32" t="n">
        <v>0.99</v>
      </c>
      <c r="J284" s="28">
        <f>IF(COUNT(E284:I284)=0,"",IF(COUNT(E284:I284)=1,"Solo dato","Ver formatos"))</f>
        <v/>
      </c>
      <c r="K284" s="31" t="inlineStr">
        <is>
          <t>Fuentes y productos en notas de precios.</t>
        </is>
      </c>
    </row>
    <row r="285" ht="34" customHeight="1" s="17">
      <c r="A285" s="29" t="inlineStr">
        <is>
          <t>Pañuelos de papel</t>
        </is>
      </c>
      <c r="B285" s="29" t="inlineStr">
        <is>
          <t>Higiene y cuidado</t>
        </is>
      </c>
      <c r="C285" s="30" t="inlineStr">
        <is>
          <t>ud</t>
        </is>
      </c>
      <c r="D285" s="31" t="inlineStr">
        <is>
          <t>10 ud</t>
        </is>
      </c>
      <c r="E285" s="32" t="n">
        <v>1.65</v>
      </c>
      <c r="F285" s="32" t="n"/>
      <c r="G285" s="32" t="n">
        <v>1.25</v>
      </c>
      <c r="H285" s="32" t="n"/>
      <c r="I285" s="32" t="n"/>
      <c r="J285" s="28">
        <f>IF(COUNT(E285:I285)=0,"",IF(COUNT(E285:I285)=1,"Solo dato","Ver formatos"))</f>
        <v/>
      </c>
      <c r="K285" s="31" t="inlineStr">
        <is>
          <t>Fuentes y productos en notas de precios. M: fuente indirecta.</t>
        </is>
      </c>
    </row>
    <row r="286" ht="34" customHeight="1" s="17">
      <c r="A286" s="29" t="inlineStr">
        <is>
          <t>Protector solar</t>
        </is>
      </c>
      <c r="B286" s="29" t="inlineStr">
        <is>
          <t>Higiene y cuidado</t>
        </is>
      </c>
      <c r="C286" s="30" t="inlineStr">
        <is>
          <t>ud</t>
        </is>
      </c>
      <c r="D286" s="31" t="inlineStr">
        <is>
          <t>180 ml</t>
        </is>
      </c>
      <c r="E286" s="32" t="n"/>
      <c r="F286" s="32" t="n"/>
      <c r="G286" s="32" t="n">
        <v>5.99</v>
      </c>
      <c r="H286" s="32" t="n"/>
      <c r="I286" s="32" t="n">
        <v>12.95</v>
      </c>
      <c r="J286" s="28">
        <f>IF(COUNT(E286:I286)=0,"",IF(COUNT(E286:I286)=1,"Solo dato","Ver formatos"))</f>
        <v/>
      </c>
      <c r="K286" s="31" t="inlineStr">
        <is>
          <t>Fuentes y productos en notas de precios.</t>
        </is>
      </c>
    </row>
    <row r="287" ht="38" customHeight="1" s="17">
      <c r="A287" s="29" t="inlineStr">
        <is>
          <t>Tampones</t>
        </is>
      </c>
      <c r="B287" s="29" t="inlineStr">
        <is>
          <t>Higiene y cuidado</t>
        </is>
      </c>
      <c r="C287" s="30" t="inlineStr">
        <is>
          <t>ud</t>
        </is>
      </c>
      <c r="D287" s="31" t="inlineStr">
        <is>
          <t>M: 20 ud
Co: 32 U</t>
        </is>
      </c>
      <c r="E287" s="32" t="n">
        <v>2.75</v>
      </c>
      <c r="F287" s="32" t="n"/>
      <c r="G287" s="32" t="n">
        <v>4.4</v>
      </c>
      <c r="H287" s="32" t="n"/>
      <c r="I287" s="32" t="n">
        <v>4.95</v>
      </c>
      <c r="J287" s="28">
        <f>IF(COUNT(E287:I287)=0,"",IF(COUNT(E287:I287)=1,"Solo dato","Ver formatos"))</f>
        <v/>
      </c>
      <c r="K287" s="31" t="inlineStr">
        <is>
          <t>Fuentes y productos en notas de precios. M: fuente indirecta. Incluye oferta.</t>
        </is>
      </c>
    </row>
    <row r="288" ht="34" customHeight="1" s="17">
      <c r="A288" s="29" t="inlineStr">
        <is>
          <t>Toallitas desmaquillantes</t>
        </is>
      </c>
      <c r="B288" s="29" t="inlineStr">
        <is>
          <t>Higiene y cuidado</t>
        </is>
      </c>
      <c r="C288" s="30" t="inlineStr">
        <is>
          <t>ud</t>
        </is>
      </c>
      <c r="D288" s="31" t="inlineStr">
        <is>
          <t>25 ud</t>
        </is>
      </c>
      <c r="E288" s="32" t="n">
        <v>1.15</v>
      </c>
      <c r="F288" s="32" t="n"/>
      <c r="G288" s="32" t="n">
        <v>1.35</v>
      </c>
      <c r="H288" s="32" t="n"/>
      <c r="I288" s="32" t="n"/>
      <c r="J288" s="28">
        <f>IF(COUNT(E288:I288)=0,"",IF(COUNT(E288:I288)=1,"Solo dato","Ver formatos"))</f>
        <v/>
      </c>
      <c r="K288" s="31" t="inlineStr">
        <is>
          <t>Fuentes y productos en notas de precios. M: fuente indirecta.</t>
        </is>
      </c>
    </row>
    <row r="289" ht="38" customHeight="1" s="17">
      <c r="A289" s="29" t="inlineStr">
        <is>
          <t>Champú infantil</t>
        </is>
      </c>
      <c r="B289" s="29" t="inlineStr">
        <is>
          <t>Bebé</t>
        </is>
      </c>
      <c r="C289" s="30" t="inlineStr">
        <is>
          <t>ud</t>
        </is>
      </c>
      <c r="D289" s="31" t="inlineStr">
        <is>
          <t>M: 0.3 l
C: 500 ml</t>
        </is>
      </c>
      <c r="E289" s="32" t="n">
        <v>1.7</v>
      </c>
      <c r="F289" s="32" t="n"/>
      <c r="G289" s="32" t="n"/>
      <c r="H289" s="32" t="n">
        <v>5.35</v>
      </c>
      <c r="I289" s="32" t="n"/>
      <c r="J289" s="28">
        <f>IF(COUNT(E289:I289)=0,"",IF(COUNT(E289:I289)=1,"Solo dato","Ver formatos"))</f>
        <v/>
      </c>
      <c r="K289" s="31" t="inlineStr">
        <is>
          <t>Fuentes y productos en notas de precios. M: fuente indirecta.</t>
        </is>
      </c>
    </row>
    <row r="290" ht="15" customHeight="1" s="17">
      <c r="A290" s="29" t="inlineStr">
        <is>
          <t>Colonia infantil</t>
        </is>
      </c>
      <c r="B290" s="29" t="inlineStr">
        <is>
          <t>Bebé</t>
        </is>
      </c>
      <c r="C290" s="30" t="inlineStr">
        <is>
          <t>ud</t>
        </is>
      </c>
      <c r="D290" s="31" t="n"/>
      <c r="E290" s="32" t="n"/>
      <c r="F290" s="32" t="n"/>
      <c r="G290" s="32" t="n"/>
      <c r="H290" s="32" t="n"/>
      <c r="I290" s="32" t="n"/>
      <c r="J290" s="28">
        <f>IF(COUNT(E290:I290)=0,"",INDEX($E$1:$I$1,MATCH(MIN(E290:I290),E290:I290,0)))</f>
        <v/>
      </c>
      <c r="K290" s="31" t="n"/>
    </row>
    <row r="291" ht="15" customHeight="1" s="17">
      <c r="A291" s="29" t="inlineStr">
        <is>
          <t>Crema del pañal</t>
        </is>
      </c>
      <c r="B291" s="29" t="inlineStr">
        <is>
          <t>Bebé</t>
        </is>
      </c>
      <c r="C291" s="30" t="inlineStr">
        <is>
          <t>ud</t>
        </is>
      </c>
      <c r="D291" s="31" t="n"/>
      <c r="E291" s="32" t="n"/>
      <c r="F291" s="32" t="n"/>
      <c r="G291" s="32" t="n"/>
      <c r="H291" s="32" t="n"/>
      <c r="I291" s="32" t="n"/>
      <c r="J291" s="28">
        <f>IF(COUNT(E291:I291)=0,"",INDEX($E$1:$I$1,MATCH(MIN(E291:I291),E291:I291,0)))</f>
        <v/>
      </c>
      <c r="K291" s="31" t="n"/>
    </row>
    <row r="292" ht="34" customHeight="1" s="17">
      <c r="A292" s="29" t="inlineStr">
        <is>
          <t>Leche de fórmula</t>
        </is>
      </c>
      <c r="B292" s="29" t="inlineStr">
        <is>
          <t>Bebé</t>
        </is>
      </c>
      <c r="C292" s="30" t="inlineStr">
        <is>
          <t>ud</t>
        </is>
      </c>
      <c r="D292" s="31" t="inlineStr">
        <is>
          <t>800 g</t>
        </is>
      </c>
      <c r="E292" s="32" t="n"/>
      <c r="F292" s="32" t="n"/>
      <c r="G292" s="32" t="n"/>
      <c r="H292" s="32" t="n">
        <v>14.95</v>
      </c>
      <c r="I292" s="32" t="n"/>
      <c r="J292" s="28">
        <f>IF(COUNT(E292:I292)=0,"",IF(COUNT(E292:I292)=1,"Solo dato","Ver formatos"))</f>
        <v/>
      </c>
      <c r="K292" s="31" t="inlineStr">
        <is>
          <t>Fuentes y productos en notas de precios.</t>
        </is>
      </c>
    </row>
    <row r="293" ht="15" customHeight="1" s="17">
      <c r="A293" s="29" t="inlineStr">
        <is>
          <t>Papilla de cereales</t>
        </is>
      </c>
      <c r="B293" s="29" t="inlineStr">
        <is>
          <t>Bebé</t>
        </is>
      </c>
      <c r="C293" s="30" t="inlineStr">
        <is>
          <t>ud</t>
        </is>
      </c>
      <c r="D293" s="31" t="n"/>
      <c r="E293" s="32" t="n"/>
      <c r="F293" s="32" t="n"/>
      <c r="G293" s="32" t="n"/>
      <c r="H293" s="32" t="n"/>
      <c r="I293" s="32" t="n"/>
      <c r="J293" s="28">
        <f>IF(COUNT(E293:I293)=0,"",INDEX($E$1:$I$1,MATCH(MIN(E293:I293),E293:I293,0)))</f>
        <v/>
      </c>
      <c r="K293" s="31" t="n"/>
    </row>
    <row r="294" ht="34" customHeight="1" s="17">
      <c r="A294" s="29" t="inlineStr">
        <is>
          <t>Pañales</t>
        </is>
      </c>
      <c r="B294" s="29" t="inlineStr">
        <is>
          <t>Bebé</t>
        </is>
      </c>
      <c r="C294" s="30" t="inlineStr">
        <is>
          <t>ud</t>
        </is>
      </c>
      <c r="D294" s="31" t="inlineStr">
        <is>
          <t>70 ud</t>
        </is>
      </c>
      <c r="E294" s="32" t="n"/>
      <c r="F294" s="32" t="n"/>
      <c r="G294" s="32" t="n"/>
      <c r="H294" s="32" t="n">
        <v>13.99</v>
      </c>
      <c r="I294" s="32" t="n"/>
      <c r="J294" s="28">
        <f>IF(COUNT(E294:I294)=0,"",IF(COUNT(E294:I294)=1,"Solo dato","Ver formatos"))</f>
        <v/>
      </c>
      <c r="K294" s="31" t="inlineStr">
        <is>
          <t>Fuentes y productos en notas de precios.</t>
        </is>
      </c>
    </row>
    <row r="295" ht="34" customHeight="1" s="17">
      <c r="A295" s="29" t="inlineStr">
        <is>
          <t>Potitos</t>
        </is>
      </c>
      <c r="B295" s="29" t="inlineStr">
        <is>
          <t>Bebé</t>
        </is>
      </c>
      <c r="C295" s="30" t="inlineStr">
        <is>
          <t>ud</t>
        </is>
      </c>
      <c r="D295" s="31" t="inlineStr">
        <is>
          <t>230 g</t>
        </is>
      </c>
      <c r="E295" s="32" t="n"/>
      <c r="F295" s="32" t="n"/>
      <c r="G295" s="32" t="n"/>
      <c r="H295" s="32" t="n">
        <v>2.59</v>
      </c>
      <c r="I295" s="32" t="n"/>
      <c r="J295" s="28">
        <f>IF(COUNT(E295:I295)=0,"",IF(COUNT(E295:I295)=1,"Solo dato","Ver formatos"))</f>
        <v/>
      </c>
      <c r="K295" s="31" t="inlineStr">
        <is>
          <t>Fuentes y productos en notas de precios.</t>
        </is>
      </c>
    </row>
    <row r="296" ht="34" customHeight="1" s="17">
      <c r="A296" s="29" t="inlineStr">
        <is>
          <t>Toallitas bebé</t>
        </is>
      </c>
      <c r="B296" s="29" t="inlineStr">
        <is>
          <t>Bebé</t>
        </is>
      </c>
      <c r="C296" s="30" t="inlineStr">
        <is>
          <t>ud</t>
        </is>
      </c>
      <c r="D296" s="31" t="inlineStr">
        <is>
          <t>80 ud</t>
        </is>
      </c>
      <c r="E296" s="32" t="n"/>
      <c r="F296" s="32" t="n"/>
      <c r="G296" s="32" t="n">
        <v>0.92</v>
      </c>
      <c r="H296" s="32" t="n">
        <v>0.95</v>
      </c>
      <c r="I296" s="32" t="n"/>
      <c r="J296" s="28">
        <f>IF(COUNT(E296:I296)=0,"",IF(COUNT(E296:I296)=1,"Solo dato","Ver formatos"))</f>
        <v/>
      </c>
      <c r="K296" s="31" t="inlineStr">
        <is>
          <t>Fuentes y productos en notas de precios.</t>
        </is>
      </c>
    </row>
    <row r="297" ht="53" customHeight="1" s="17">
      <c r="A297" s="29" t="inlineStr">
        <is>
          <t>Arena para gato</t>
        </is>
      </c>
      <c r="B297" s="29" t="inlineStr">
        <is>
          <t>Mascotas</t>
        </is>
      </c>
      <c r="C297" s="30" t="inlineStr">
        <is>
          <t>ud</t>
        </is>
      </c>
      <c r="D297" s="31" t="inlineStr">
        <is>
          <t>M: 5 kg
C: 4,7 kg
Co: 4 Kg</t>
        </is>
      </c>
      <c r="E297" s="32" t="n">
        <v>1.6</v>
      </c>
      <c r="F297" s="32" t="n"/>
      <c r="G297" s="32" t="n">
        <v>1.89</v>
      </c>
      <c r="H297" s="32" t="n">
        <v>1.45</v>
      </c>
      <c r="I297" s="32" t="n">
        <v>2.95</v>
      </c>
      <c r="J297" s="28">
        <f>IF(COUNT(E297:I297)=0,"",IF(COUNT(E297:I297)=1,"Solo dato","Ver formatos"))</f>
        <v/>
      </c>
      <c r="K297" s="31" t="inlineStr">
        <is>
          <t>Fuentes y productos en notas de precios. M: fuente indirecta.</t>
        </is>
      </c>
    </row>
    <row r="298" ht="15" customHeight="1" s="17">
      <c r="A298" s="29" t="inlineStr">
        <is>
          <t>Bolsas para excrementos</t>
        </is>
      </c>
      <c r="B298" s="29" t="inlineStr">
        <is>
          <t>Mascotas</t>
        </is>
      </c>
      <c r="C298" s="30" t="inlineStr">
        <is>
          <t>ud</t>
        </is>
      </c>
      <c r="D298" s="31" t="n"/>
      <c r="E298" s="32" t="n"/>
      <c r="F298" s="32" t="n"/>
      <c r="G298" s="32" t="n"/>
      <c r="H298" s="32" t="n"/>
      <c r="I298" s="32" t="n"/>
      <c r="J298" s="28">
        <f>IF(COUNT(E298:I298)=0,"",INDEX($E$1:$I$1,MATCH(MIN(E298:I298),E298:I298,0)))</f>
        <v/>
      </c>
      <c r="K298" s="31" t="n"/>
    </row>
    <row r="299" ht="38" customHeight="1" s="17">
      <c r="A299" s="29" t="inlineStr">
        <is>
          <t>Comida húmeda gato</t>
        </is>
      </c>
      <c r="B299" s="29" t="inlineStr">
        <is>
          <t>Mascotas</t>
        </is>
      </c>
      <c r="C299" s="30" t="inlineStr">
        <is>
          <t>ud</t>
        </is>
      </c>
      <c r="D299" s="31" t="inlineStr">
        <is>
          <t>C: 100 g
Co: 85 Gr</t>
        </is>
      </c>
      <c r="E299" s="32" t="n"/>
      <c r="F299" s="32" t="n"/>
      <c r="G299" s="32" t="n">
        <v>3.79</v>
      </c>
      <c r="H299" s="32" t="n">
        <v>0.33</v>
      </c>
      <c r="I299" s="32" t="n">
        <v>0.92</v>
      </c>
      <c r="J299" s="28">
        <f>IF(COUNT(E299:I299)=0,"",IF(COUNT(E299:I299)=1,"Solo dato","Ver formatos"))</f>
        <v/>
      </c>
      <c r="K299" s="31" t="inlineStr">
        <is>
          <t>Fuentes y productos en notas de precios.</t>
        </is>
      </c>
    </row>
    <row r="300" ht="38" customHeight="1" s="17">
      <c r="A300" s="29" t="inlineStr">
        <is>
          <t>Comida húmeda perro</t>
        </is>
      </c>
      <c r="B300" s="29" t="inlineStr">
        <is>
          <t>Mascotas</t>
        </is>
      </c>
      <c r="C300" s="30" t="inlineStr">
        <is>
          <t>ud</t>
        </is>
      </c>
      <c r="D300" s="31" t="inlineStr">
        <is>
          <t>C: 300 g
Co: 150 Gr</t>
        </is>
      </c>
      <c r="E300" s="32" t="n"/>
      <c r="F300" s="32" t="n"/>
      <c r="G300" s="32" t="n"/>
      <c r="H300" s="32" t="n">
        <v>0.89</v>
      </c>
      <c r="I300" s="32" t="n">
        <v>1.29</v>
      </c>
      <c r="J300" s="28">
        <f>IF(COUNT(E300:I300)=0,"",IF(COUNT(E300:I300)=1,"Solo dato","Ver formatos"))</f>
        <v/>
      </c>
      <c r="K300" s="31" t="inlineStr">
        <is>
          <t>Fuentes y productos en notas de precios. Incluye oferta.</t>
        </is>
      </c>
    </row>
    <row r="301" ht="34" customHeight="1" s="17">
      <c r="A301" s="29" t="inlineStr">
        <is>
          <t>Pienso gato</t>
        </is>
      </c>
      <c r="B301" s="29" t="inlineStr">
        <is>
          <t>Mascotas</t>
        </is>
      </c>
      <c r="C301" s="30" t="inlineStr">
        <is>
          <t>kg</t>
        </is>
      </c>
      <c r="D301" s="31" t="inlineStr">
        <is>
          <t>1,5 Kg</t>
        </is>
      </c>
      <c r="E301" s="32" t="n"/>
      <c r="F301" s="32" t="n"/>
      <c r="G301" s="32" t="n">
        <v>2.89</v>
      </c>
      <c r="H301" s="32" t="n"/>
      <c r="I301" s="32" t="n">
        <v>2.66</v>
      </c>
      <c r="J301" s="28">
        <f>IF(COUNT(E301:I301)=0,"",IF(COUNT(E301:I301)=1,"Solo dato",IF(E301=MIN(E301:I301),E$1,IF(F301=MIN(E301:I301),F$1,IF(G301=MIN(E301:I301),G$1,IF(H301=MIN(E301:I301),H$1,IF(I301=MIN(E301:I301),I$1,"")))))))</f>
        <v/>
      </c>
      <c r="K301" s="31" t="inlineStr">
        <is>
          <t>Fuentes y productos en notas de precios. Incluye oferta.</t>
        </is>
      </c>
    </row>
    <row r="302" ht="38" customHeight="1" s="17">
      <c r="A302" s="29" t="inlineStr">
        <is>
          <t>Pienso perro</t>
        </is>
      </c>
      <c r="B302" s="29" t="inlineStr">
        <is>
          <t>Mascotas</t>
        </is>
      </c>
      <c r="C302" s="30" t="inlineStr">
        <is>
          <t>kg</t>
        </is>
      </c>
      <c r="D302" s="31" t="inlineStr">
        <is>
          <t>C: 15 kg
Co: 1,5 Kg</t>
        </is>
      </c>
      <c r="E302" s="32" t="n"/>
      <c r="F302" s="32" t="n"/>
      <c r="G302" s="32" t="n">
        <v>6.99</v>
      </c>
      <c r="H302" s="32" t="n">
        <v>2.22</v>
      </c>
      <c r="I302" s="32" t="n">
        <v>3.83</v>
      </c>
      <c r="J302" s="28">
        <f>IF(COUNT(E302:I302)=0,"",IF(COUNT(E302:I302)=1,"Solo dato",IF(E302=MIN(E302:I302),E$1,IF(F302=MIN(E302:I302),F$1,IF(G302=MIN(E302:I302),G$1,IF(H302=MIN(E302:I302),H$1,IF(I302=MIN(E302:I302),I$1,"")))))))</f>
        <v/>
      </c>
      <c r="K302" s="31" t="inlineStr">
        <is>
          <t>Fuentes y productos en notas de precios. Incluye oferta.</t>
        </is>
      </c>
    </row>
    <row r="303" ht="53" customHeight="1" s="17">
      <c r="A303" s="29" t="inlineStr">
        <is>
          <t>Premios mascota</t>
        </is>
      </c>
      <c r="B303" s="29" t="inlineStr">
        <is>
          <t>Mascotas</t>
        </is>
      </c>
      <c r="C303" s="30" t="inlineStr">
        <is>
          <t>ud</t>
        </is>
      </c>
      <c r="D303" s="31" t="inlineStr">
        <is>
          <t>M: 0.7 kg
C: Envase/pieza publicado; ver nota
Co: 110 Gr</t>
        </is>
      </c>
      <c r="E303" s="32" t="n">
        <v>1.95</v>
      </c>
      <c r="F303" s="32" t="n"/>
      <c r="G303" s="32" t="n"/>
      <c r="H303" s="32" t="n">
        <v>0.59</v>
      </c>
      <c r="I303" s="32" t="n">
        <v>1.99</v>
      </c>
      <c r="J303" s="28">
        <f>IF(COUNT(E303:I303)=0,"",IF(COUNT(E303:I303)=1,"Solo dato","Ver formatos"))</f>
        <v/>
      </c>
      <c r="K303" s="31" t="inlineStr">
        <is>
          <t>Fuentes y productos en notas de precios. M: fuente indirecta.</t>
        </is>
      </c>
    </row>
    <row r="304" ht="34" customHeight="1" s="17">
      <c r="A304" s="29" t="inlineStr">
        <is>
          <t>Agua oxigenada</t>
        </is>
      </c>
      <c r="B304" s="29" t="inlineStr">
        <is>
          <t>Farmacia</t>
        </is>
      </c>
      <c r="C304" s="30" t="inlineStr">
        <is>
          <t>ud</t>
        </is>
      </c>
      <c r="D304" s="31" t="inlineStr">
        <is>
          <t>250 ml</t>
        </is>
      </c>
      <c r="E304" s="32" t="n"/>
      <c r="F304" s="32" t="n"/>
      <c r="G304" s="32" t="n"/>
      <c r="H304" s="32" t="n">
        <v>0.7</v>
      </c>
      <c r="I304" s="32" t="n"/>
      <c r="J304" s="28">
        <f>IF(COUNT(E304:I304)=0,"",IF(COUNT(E304:I304)=1,"Solo dato","Ver formatos"))</f>
        <v/>
      </c>
      <c r="K304" s="31" t="inlineStr">
        <is>
          <t>Fuentes y productos en notas de precios.</t>
        </is>
      </c>
    </row>
    <row r="305" ht="34" customHeight="1" s="17">
      <c r="A305" s="29" t="inlineStr">
        <is>
          <t>Alcohol</t>
        </is>
      </c>
      <c r="B305" s="29" t="inlineStr">
        <is>
          <t>Farmacia</t>
        </is>
      </c>
      <c r="C305" s="30" t="inlineStr">
        <is>
          <t>ud</t>
        </is>
      </c>
      <c r="D305" s="31" t="inlineStr">
        <is>
          <t>500 ml</t>
        </is>
      </c>
      <c r="E305" s="32" t="n"/>
      <c r="F305" s="32" t="n"/>
      <c r="G305" s="32" t="n"/>
      <c r="H305" s="32" t="n">
        <v>1.81</v>
      </c>
      <c r="I305" s="32" t="n"/>
      <c r="J305" s="28">
        <f>IF(COUNT(E305:I305)=0,"",IF(COUNT(E305:I305)=1,"Solo dato","Ver formatos"))</f>
        <v/>
      </c>
      <c r="K305" s="31" t="inlineStr">
        <is>
          <t>Fuentes y productos en notas de precios.</t>
        </is>
      </c>
    </row>
    <row r="306" ht="15" customHeight="1" s="17">
      <c r="A306" s="29" t="inlineStr">
        <is>
          <t>Antimosquitos</t>
        </is>
      </c>
      <c r="B306" s="29" t="inlineStr">
        <is>
          <t>Farmacia</t>
        </is>
      </c>
      <c r="C306" s="30" t="inlineStr">
        <is>
          <t>ud</t>
        </is>
      </c>
      <c r="D306" s="31" t="n"/>
      <c r="E306" s="32" t="n"/>
      <c r="F306" s="32" t="n"/>
      <c r="G306" s="32" t="n"/>
      <c r="H306" s="32" t="n"/>
      <c r="I306" s="32" t="n"/>
      <c r="J306" s="28">
        <f>IF(COUNT(E306:I306)=0,"",INDEX($E$1:$I$1,MATCH(MIN(E306:I306),E306:I306,0)))</f>
        <v/>
      </c>
      <c r="K306" s="31" t="n"/>
    </row>
    <row r="307" ht="34" customHeight="1" s="17">
      <c r="A307" s="29" t="inlineStr">
        <is>
          <t>Gasas</t>
        </is>
      </c>
      <c r="B307" s="29" t="inlineStr">
        <is>
          <t>Farmacia</t>
        </is>
      </c>
      <c r="C307" s="30" t="inlineStr">
        <is>
          <t>ud</t>
        </is>
      </c>
      <c r="D307" s="31" t="inlineStr">
        <is>
          <t>100 U</t>
        </is>
      </c>
      <c r="E307" s="32" t="n"/>
      <c r="F307" s="32" t="n"/>
      <c r="G307" s="32" t="n"/>
      <c r="H307" s="32" t="n"/>
      <c r="I307" s="32" t="n">
        <v>2</v>
      </c>
      <c r="J307" s="28">
        <f>IF(COUNT(E307:I307)=0,"",IF(COUNT(E307:I307)=1,"Solo dato","Ver formatos"))</f>
        <v/>
      </c>
      <c r="K307" s="31" t="inlineStr">
        <is>
          <t>Fuentes y productos en notas de precios.</t>
        </is>
      </c>
    </row>
    <row r="308" ht="15" customHeight="1" s="17">
      <c r="A308" s="29" t="inlineStr">
        <is>
          <t>Ibuprofeno</t>
        </is>
      </c>
      <c r="B308" s="29" t="inlineStr">
        <is>
          <t>Farmacia</t>
        </is>
      </c>
      <c r="C308" s="30" t="inlineStr">
        <is>
          <t>ud</t>
        </is>
      </c>
      <c r="D308" s="31" t="n"/>
      <c r="E308" s="32" t="n"/>
      <c r="F308" s="32" t="n"/>
      <c r="G308" s="32" t="n"/>
      <c r="H308" s="32" t="n"/>
      <c r="I308" s="32" t="n"/>
      <c r="J308" s="28">
        <f>IF(COUNT(E308:I308)=0,"",INDEX($E$1:$I$1,MATCH(MIN(E308:I308),E308:I308,0)))</f>
        <v/>
      </c>
      <c r="K308" s="31" t="n"/>
    </row>
    <row r="309" ht="15" customHeight="1" s="17">
      <c r="A309" s="29" t="inlineStr">
        <is>
          <t>Mascarillas</t>
        </is>
      </c>
      <c r="B309" s="29" t="inlineStr">
        <is>
          <t>Farmacia</t>
        </is>
      </c>
      <c r="C309" s="30" t="inlineStr">
        <is>
          <t>ud</t>
        </is>
      </c>
      <c r="D309" s="31" t="n"/>
      <c r="E309" s="32" t="n"/>
      <c r="F309" s="32" t="n"/>
      <c r="G309" s="32" t="n"/>
      <c r="H309" s="32" t="n"/>
      <c r="I309" s="32" t="n"/>
      <c r="J309" s="28">
        <f>IF(COUNT(E309:I309)=0,"",INDEX($E$1:$I$1,MATCH(MIN(E309:I309),E309:I309,0)))</f>
        <v/>
      </c>
      <c r="K309" s="31" t="n"/>
    </row>
    <row r="310" ht="15" customHeight="1" s="17">
      <c r="A310" s="29" t="inlineStr">
        <is>
          <t>Paracetamol</t>
        </is>
      </c>
      <c r="B310" s="29" t="inlineStr">
        <is>
          <t>Farmacia</t>
        </is>
      </c>
      <c r="C310" s="30" t="inlineStr">
        <is>
          <t>ud</t>
        </is>
      </c>
      <c r="D310" s="31" t="n"/>
      <c r="E310" s="32" t="n"/>
      <c r="F310" s="32" t="n"/>
      <c r="G310" s="32" t="n"/>
      <c r="H310" s="32" t="n"/>
      <c r="I310" s="32" t="n"/>
      <c r="J310" s="28">
        <f>IF(COUNT(E310:I310)=0,"",INDEX($E$1:$I$1,MATCH(MIN(E310:I310),E310:I310,0)))</f>
        <v/>
      </c>
      <c r="K310" s="31" t="n"/>
    </row>
    <row r="311" ht="15" customHeight="1" s="17">
      <c r="A311" s="29" t="inlineStr">
        <is>
          <t>Suero fisiológico</t>
        </is>
      </c>
      <c r="B311" s="29" t="inlineStr">
        <is>
          <t>Farmacia</t>
        </is>
      </c>
      <c r="C311" s="30" t="inlineStr">
        <is>
          <t>ud</t>
        </is>
      </c>
      <c r="D311" s="31" t="n"/>
      <c r="E311" s="32" t="n"/>
      <c r="F311" s="32" t="n"/>
      <c r="G311" s="32" t="n"/>
      <c r="H311" s="32" t="n"/>
      <c r="I311" s="32" t="n"/>
      <c r="J311" s="28">
        <f>IF(COUNT(E311:I311)=0,"",INDEX($E$1:$I$1,MATCH(MIN(E311:I311),E311:I311,0)))</f>
        <v/>
      </c>
      <c r="K311" s="31" t="n"/>
    </row>
    <row r="312" ht="15" customHeight="1" s="17">
      <c r="A312" s="29" t="inlineStr">
        <is>
          <t>Termómetro</t>
        </is>
      </c>
      <c r="B312" s="29" t="inlineStr">
        <is>
          <t>Farmacia</t>
        </is>
      </c>
      <c r="C312" s="30" t="inlineStr">
        <is>
          <t>ud</t>
        </is>
      </c>
      <c r="D312" s="31" t="n"/>
      <c r="E312" s="32" t="n"/>
      <c r="F312" s="32" t="n"/>
      <c r="G312" s="32" t="n"/>
      <c r="H312" s="32" t="n"/>
      <c r="I312" s="32" t="n"/>
      <c r="J312" s="28">
        <f>IF(COUNT(E312:I312)=0,"",INDEX($E$1:$I$1,MATCH(MIN(E312:I312),E312:I312,0)))</f>
        <v/>
      </c>
      <c r="K312" s="31" t="n"/>
    </row>
    <row r="313" ht="34" customHeight="1" s="17">
      <c r="A313" s="29" t="inlineStr">
        <is>
          <t>Tiritas</t>
        </is>
      </c>
      <c r="B313" s="29" t="inlineStr">
        <is>
          <t>Farmacia</t>
        </is>
      </c>
      <c r="C313" s="30" t="inlineStr">
        <is>
          <t>ud</t>
        </is>
      </c>
      <c r="D313" s="31" t="inlineStr">
        <is>
          <t>40 ud</t>
        </is>
      </c>
      <c r="E313" s="32" t="n"/>
      <c r="F313" s="32" t="n"/>
      <c r="G313" s="32" t="n"/>
      <c r="H313" s="32" t="n">
        <v>2.99</v>
      </c>
      <c r="I313" s="32" t="n"/>
      <c r="J313" s="28">
        <f>IF(COUNT(E313:I313)=0,"",IF(COUNT(E313:I313)=1,"Solo dato","Ver formatos"))</f>
        <v/>
      </c>
      <c r="K313" s="31" t="inlineStr">
        <is>
          <t>Fuentes y productos en notas de precios.</t>
        </is>
      </c>
    </row>
    <row r="314" ht="15" customHeight="1" s="17">
      <c r="A314" s="29" t="inlineStr">
        <is>
          <t>Vitaminas</t>
        </is>
      </c>
      <c r="B314" s="29" t="inlineStr">
        <is>
          <t>Farmacia</t>
        </is>
      </c>
      <c r="C314" s="30" t="inlineStr">
        <is>
          <t>ud</t>
        </is>
      </c>
      <c r="D314" s="31" t="n"/>
      <c r="E314" s="32" t="n"/>
      <c r="F314" s="32" t="n"/>
      <c r="G314" s="32" t="n"/>
      <c r="H314" s="32" t="n"/>
      <c r="I314" s="32" t="n"/>
      <c r="J314" s="28">
        <f>IF(COUNT(E314:I314)=0,"",INDEX($E$1:$I$1,MATCH(MIN(E314:I314),E314:I314,0)))</f>
        <v/>
      </c>
      <c r="K314" s="31" t="n"/>
    </row>
    <row r="315" ht="34" customHeight="1" s="17">
      <c r="A315" s="29" t="inlineStr">
        <is>
          <t>Alargador</t>
        </is>
      </c>
      <c r="B315" s="29" t="inlineStr">
        <is>
          <t>Hogar y bricolaje</t>
        </is>
      </c>
      <c r="C315" s="30" t="inlineStr">
        <is>
          <t>ud</t>
        </is>
      </c>
      <c r="D315" s="31" t="inlineStr">
        <is>
          <t>10 m</t>
        </is>
      </c>
      <c r="E315" s="32" t="n"/>
      <c r="F315" s="32" t="n">
        <v>16.99</v>
      </c>
      <c r="G315" s="32" t="n"/>
      <c r="H315" s="32" t="n"/>
      <c r="I315" s="32" t="n"/>
      <c r="J315" s="28">
        <f>IF(COUNT(E315:I315)=0,"",IF(COUNT(E315:I315)=1,"Solo dato","Ver formatos"))</f>
        <v/>
      </c>
      <c r="K315" s="31" t="inlineStr">
        <is>
          <t>Fuentes y productos en notas de precios.</t>
        </is>
      </c>
    </row>
    <row r="316" ht="15" customHeight="1" s="17">
      <c r="A316" s="29" t="inlineStr">
        <is>
          <t>Alcargolas</t>
        </is>
      </c>
      <c r="B316" s="29" t="inlineStr">
        <is>
          <t>Hogar y bricolaje</t>
        </is>
      </c>
      <c r="C316" s="30" t="inlineStr">
        <is>
          <t>ud</t>
        </is>
      </c>
      <c r="D316" s="31" t="n"/>
      <c r="E316" s="32" t="n"/>
      <c r="F316" s="32" t="n"/>
      <c r="G316" s="32" t="n"/>
      <c r="H316" s="32" t="n"/>
      <c r="I316" s="32" t="n"/>
      <c r="J316" s="28">
        <f>IF(COUNT(E316:I316)=0,"",INDEX($E$1:$I$1,MATCH(MIN(E316:I316),E316:I316,0)))</f>
        <v/>
      </c>
      <c r="K316" s="31" t="n"/>
    </row>
    <row r="317" ht="34" customHeight="1" s="17">
      <c r="A317" s="29" t="inlineStr">
        <is>
          <t>Alfombra</t>
        </is>
      </c>
      <c r="B317" s="29" t="inlineStr">
        <is>
          <t>Hogar y bricolaje</t>
        </is>
      </c>
      <c r="C317" s="30" t="inlineStr">
        <is>
          <t>ud</t>
        </is>
      </c>
      <c r="D317" s="31" t="inlineStr">
        <is>
          <t>Envase/pieza publicado; ver nota</t>
        </is>
      </c>
      <c r="E317" s="32" t="n"/>
      <c r="F317" s="32" t="n">
        <v>21.99</v>
      </c>
      <c r="G317" s="32" t="n"/>
      <c r="H317" s="32" t="n"/>
      <c r="I317" s="32" t="n"/>
      <c r="J317" s="28">
        <f>IF(COUNT(E317:I317)=0,"",IF(COUNT(E317:I317)=1,"Solo dato","Ver formatos"))</f>
        <v/>
      </c>
      <c r="K317" s="31" t="inlineStr">
        <is>
          <t>Fuentes y productos en notas de precios.</t>
        </is>
      </c>
    </row>
    <row r="318" ht="34" customHeight="1" s="17">
      <c r="A318" s="29" t="inlineStr">
        <is>
          <t>Almohada</t>
        </is>
      </c>
      <c r="B318" s="29" t="inlineStr">
        <is>
          <t>Hogar y bricolaje</t>
        </is>
      </c>
      <c r="C318" s="30" t="inlineStr">
        <is>
          <t>ud</t>
        </is>
      </c>
      <c r="D318" s="31" t="inlineStr">
        <is>
          <t>Envase/pieza publicado; ver nota</t>
        </is>
      </c>
      <c r="E318" s="32" t="n"/>
      <c r="F318" s="32" t="n">
        <v>5.99</v>
      </c>
      <c r="G318" s="32" t="n"/>
      <c r="H318" s="32" t="n"/>
      <c r="I318" s="32" t="n"/>
      <c r="J318" s="28">
        <f>IF(COUNT(E318:I318)=0,"",IF(COUNT(E318:I318)=1,"Solo dato","Ver formatos"))</f>
        <v/>
      </c>
      <c r="K318" s="31" t="inlineStr">
        <is>
          <t>Fuentes y productos en notas de precios.</t>
        </is>
      </c>
    </row>
    <row r="319" ht="34" customHeight="1" s="17">
      <c r="A319" s="29" t="inlineStr">
        <is>
          <t>Bombillas</t>
        </is>
      </c>
      <c r="B319" s="29" t="inlineStr">
        <is>
          <t>Hogar y bricolaje</t>
        </is>
      </c>
      <c r="C319" s="30" t="inlineStr">
        <is>
          <t>ud</t>
        </is>
      </c>
      <c r="D319" s="31" t="inlineStr">
        <is>
          <t>Envase/pieza publicado; ver nota</t>
        </is>
      </c>
      <c r="E319" s="32" t="n"/>
      <c r="F319" s="32" t="n">
        <v>4.99</v>
      </c>
      <c r="G319" s="32" t="n"/>
      <c r="H319" s="32" t="n"/>
      <c r="I319" s="32" t="n"/>
      <c r="J319" s="28">
        <f>IF(COUNT(E319:I319)=0,"",IF(COUNT(E319:I319)=1,"Solo dato","Ver formatos"))</f>
        <v/>
      </c>
      <c r="K319" s="31" t="inlineStr">
        <is>
          <t>Fuentes y productos en notas de precios.</t>
        </is>
      </c>
    </row>
    <row r="320" ht="15" customHeight="1" s="17">
      <c r="A320" s="29" t="inlineStr">
        <is>
          <t>Cajas de almacenaje</t>
        </is>
      </c>
      <c r="B320" s="29" t="inlineStr">
        <is>
          <t>Hogar y bricolaje</t>
        </is>
      </c>
      <c r="C320" s="30" t="inlineStr">
        <is>
          <t>ud</t>
        </is>
      </c>
      <c r="D320" s="31" t="n"/>
      <c r="E320" s="32" t="n"/>
      <c r="F320" s="32" t="n"/>
      <c r="G320" s="32" t="n"/>
      <c r="H320" s="32" t="n"/>
      <c r="I320" s="32" t="n"/>
      <c r="J320" s="28">
        <f>IF(COUNT(E320:I320)=0,"",INDEX($E$1:$I$1,MATCH(MIN(E320:I320),E320:I320,0)))</f>
        <v/>
      </c>
      <c r="K320" s="31" t="n"/>
    </row>
    <row r="321" ht="15" customHeight="1" s="17">
      <c r="A321" s="29" t="inlineStr">
        <is>
          <t>Cajas de cartón</t>
        </is>
      </c>
      <c r="B321" s="29" t="inlineStr">
        <is>
          <t>Hogar y bricolaje</t>
        </is>
      </c>
      <c r="C321" s="30" t="inlineStr">
        <is>
          <t>ud</t>
        </is>
      </c>
      <c r="D321" s="31" t="n"/>
      <c r="E321" s="32" t="n"/>
      <c r="F321" s="32" t="n"/>
      <c r="G321" s="32" t="n"/>
      <c r="H321" s="32" t="n"/>
      <c r="I321" s="32" t="n"/>
      <c r="J321" s="28">
        <f>IF(COUNT(E321:I321)=0,"",INDEX($E$1:$I$1,MATCH(MIN(E321:I321),E321:I321,0)))</f>
        <v/>
      </c>
      <c r="K321" s="31" t="n"/>
    </row>
    <row r="322" ht="34" customHeight="1" s="17">
      <c r="A322" s="29" t="inlineStr">
        <is>
          <t>Cazo</t>
        </is>
      </c>
      <c r="B322" s="29" t="inlineStr">
        <is>
          <t>Hogar y bricolaje</t>
        </is>
      </c>
      <c r="C322" s="30" t="inlineStr">
        <is>
          <t>ud</t>
        </is>
      </c>
      <c r="D322" s="31" t="inlineStr">
        <is>
          <t>Envase/pieza publicado; ver nota</t>
        </is>
      </c>
      <c r="E322" s="32" t="n"/>
      <c r="F322" s="32" t="n">
        <v>14.99</v>
      </c>
      <c r="G322" s="32" t="n"/>
      <c r="H322" s="32" t="n"/>
      <c r="I322" s="32" t="n"/>
      <c r="J322" s="28">
        <f>IF(COUNT(E322:I322)=0,"",IF(COUNT(E322:I322)=1,"Solo dato","Ver formatos"))</f>
        <v/>
      </c>
      <c r="K322" s="31" t="inlineStr">
        <is>
          <t>Fuentes y productos en notas de precios.</t>
        </is>
      </c>
    </row>
    <row r="323" ht="15" customHeight="1" s="17">
      <c r="A323" s="29" t="inlineStr">
        <is>
          <t>Celo</t>
        </is>
      </c>
      <c r="B323" s="29" t="inlineStr">
        <is>
          <t>Hogar y bricolaje</t>
        </is>
      </c>
      <c r="C323" s="30" t="inlineStr">
        <is>
          <t>ud</t>
        </is>
      </c>
      <c r="D323" s="31" t="n"/>
      <c r="E323" s="32" t="n"/>
      <c r="F323" s="32" t="n"/>
      <c r="G323" s="32" t="n"/>
      <c r="H323" s="32" t="n"/>
      <c r="I323" s="32" t="n"/>
      <c r="J323" s="28">
        <f>IF(COUNT(E323:I323)=0,"",INDEX($E$1:$I$1,MATCH(MIN(E323:I323),E323:I323,0)))</f>
        <v/>
      </c>
      <c r="K323" s="31" t="n"/>
    </row>
    <row r="324" ht="15" customHeight="1" s="17">
      <c r="A324" s="29" t="inlineStr">
        <is>
          <t>Cerillas</t>
        </is>
      </c>
      <c r="B324" s="29" t="inlineStr">
        <is>
          <t>Hogar y bricolaje</t>
        </is>
      </c>
      <c r="C324" s="30" t="inlineStr">
        <is>
          <t>ud</t>
        </is>
      </c>
      <c r="D324" s="31" t="n"/>
      <c r="E324" s="32" t="n"/>
      <c r="F324" s="32" t="n"/>
      <c r="G324" s="32" t="n"/>
      <c r="H324" s="32" t="n"/>
      <c r="I324" s="32" t="n"/>
      <c r="J324" s="28">
        <f>IF(COUNT(E324:I324)=0,"",INDEX($E$1:$I$1,MATCH(MIN(E324:I324),E324:I324,0)))</f>
        <v/>
      </c>
      <c r="K324" s="31" t="n"/>
    </row>
    <row r="325" ht="15" customHeight="1" s="17">
      <c r="A325" s="29" t="inlineStr">
        <is>
          <t>Cinta americana</t>
        </is>
      </c>
      <c r="B325" s="29" t="inlineStr">
        <is>
          <t>Hogar y bricolaje</t>
        </is>
      </c>
      <c r="C325" s="30" t="inlineStr">
        <is>
          <t>ud</t>
        </is>
      </c>
      <c r="D325" s="31" t="n"/>
      <c r="E325" s="32" t="n"/>
      <c r="F325" s="32" t="n"/>
      <c r="G325" s="32" t="n"/>
      <c r="H325" s="32" t="n"/>
      <c r="I325" s="32" t="n"/>
      <c r="J325" s="28">
        <f>IF(COUNT(E325:I325)=0,"",INDEX($E$1:$I$1,MATCH(MIN(E325:I325),E325:I325,0)))</f>
        <v/>
      </c>
      <c r="K325" s="31" t="n"/>
    </row>
    <row r="326" ht="34" customHeight="1" s="17">
      <c r="A326" s="29" t="inlineStr">
        <is>
          <t>Cortinas</t>
        </is>
      </c>
      <c r="B326" s="29" t="inlineStr">
        <is>
          <t>Hogar y bricolaje</t>
        </is>
      </c>
      <c r="C326" s="30" t="inlineStr">
        <is>
          <t>ud</t>
        </is>
      </c>
      <c r="D326" s="31" t="inlineStr">
        <is>
          <t>Envase/pieza publicado; ver nota</t>
        </is>
      </c>
      <c r="E326" s="32" t="n"/>
      <c r="F326" s="32" t="n">
        <v>16.99</v>
      </c>
      <c r="G326" s="32" t="n"/>
      <c r="H326" s="32" t="n"/>
      <c r="I326" s="32" t="n"/>
      <c r="J326" s="28">
        <f>IF(COUNT(E326:I326)=0,"",IF(COUNT(E326:I326)=1,"Solo dato","Ver formatos"))</f>
        <v/>
      </c>
      <c r="K326" s="31" t="inlineStr">
        <is>
          <t>Fuentes y productos en notas de precios.</t>
        </is>
      </c>
    </row>
    <row r="327" ht="34" customHeight="1" s="17">
      <c r="A327" s="29" t="inlineStr">
        <is>
          <t>Cubiertos</t>
        </is>
      </c>
      <c r="B327" s="29" t="inlineStr">
        <is>
          <t>Hogar y bricolaje</t>
        </is>
      </c>
      <c r="C327" s="30" t="inlineStr">
        <is>
          <t>ud</t>
        </is>
      </c>
      <c r="D327" s="31" t="inlineStr">
        <is>
          <t>Envase/pieza publicado; ver nota</t>
        </is>
      </c>
      <c r="E327" s="32" t="n"/>
      <c r="F327" s="32" t="n">
        <v>9.99</v>
      </c>
      <c r="G327" s="32" t="n"/>
      <c r="H327" s="32" t="n"/>
      <c r="I327" s="32" t="n"/>
      <c r="J327" s="28">
        <f>IF(COUNT(E327:I327)=0,"",IF(COUNT(E327:I327)=1,"Solo dato","Ver formatos"))</f>
        <v/>
      </c>
      <c r="K327" s="31" t="inlineStr">
        <is>
          <t>Fuentes y productos en notas de precios.</t>
        </is>
      </c>
    </row>
    <row r="328" ht="34" customHeight="1" s="17">
      <c r="A328" s="29" t="inlineStr">
        <is>
          <t>Cubo de basura</t>
        </is>
      </c>
      <c r="B328" s="29" t="inlineStr">
        <is>
          <t>Hogar y bricolaje</t>
        </is>
      </c>
      <c r="C328" s="30" t="inlineStr">
        <is>
          <t>ud</t>
        </is>
      </c>
      <c r="D328" s="31" t="inlineStr">
        <is>
          <t>2,6 l</t>
        </is>
      </c>
      <c r="E328" s="32" t="n"/>
      <c r="F328" s="32" t="n">
        <v>6.99</v>
      </c>
      <c r="G328" s="32" t="n"/>
      <c r="H328" s="32" t="n"/>
      <c r="I328" s="32" t="n"/>
      <c r="J328" s="28">
        <f>IF(COUNT(E328:I328)=0,"",IF(COUNT(E328:I328)=1,"Solo dato","Ver formatos"))</f>
        <v/>
      </c>
      <c r="K328" s="31" t="inlineStr">
        <is>
          <t>Fuentes y productos en notas de precios.</t>
        </is>
      </c>
    </row>
    <row r="329" ht="15" customHeight="1" s="17">
      <c r="A329" s="29" t="inlineStr">
        <is>
          <t>Cuerda</t>
        </is>
      </c>
      <c r="B329" s="29" t="inlineStr">
        <is>
          <t>Hogar y bricolaje</t>
        </is>
      </c>
      <c r="C329" s="30" t="inlineStr">
        <is>
          <t>ud</t>
        </is>
      </c>
      <c r="D329" s="31" t="n"/>
      <c r="E329" s="32" t="n"/>
      <c r="F329" s="32" t="n"/>
      <c r="G329" s="32" t="n"/>
      <c r="H329" s="32" t="n"/>
      <c r="I329" s="32" t="n"/>
      <c r="J329" s="28">
        <f>IF(COUNT(E329:I329)=0,"",INDEX($E$1:$I$1,MATCH(MIN(E329:I329),E329:I329,0)))</f>
        <v/>
      </c>
      <c r="K329" s="31" t="n"/>
    </row>
    <row r="330" ht="15" customHeight="1" s="17">
      <c r="A330" s="29" t="inlineStr">
        <is>
          <t>Escoba</t>
        </is>
      </c>
      <c r="B330" s="29" t="inlineStr">
        <is>
          <t>Hogar y bricolaje</t>
        </is>
      </c>
      <c r="C330" s="30" t="inlineStr">
        <is>
          <t>ud</t>
        </is>
      </c>
      <c r="D330" s="31" t="n"/>
      <c r="E330" s="32" t="n"/>
      <c r="F330" s="32" t="n"/>
      <c r="G330" s="32" t="n"/>
      <c r="H330" s="32" t="n"/>
      <c r="I330" s="32" t="n"/>
      <c r="J330" s="28">
        <f>IF(COUNT(E330:I330)=0,"",INDEX($E$1:$I$1,MATCH(MIN(E330:I330),E330:I330,0)))</f>
        <v/>
      </c>
      <c r="K330" s="31" t="n"/>
    </row>
    <row r="331" ht="34" customHeight="1" s="17">
      <c r="A331" s="29" t="inlineStr">
        <is>
          <t>Felpudo</t>
        </is>
      </c>
      <c r="B331" s="29" t="inlineStr">
        <is>
          <t>Hogar y bricolaje</t>
        </is>
      </c>
      <c r="C331" s="30" t="inlineStr">
        <is>
          <t>ud</t>
        </is>
      </c>
      <c r="D331" s="31" t="inlineStr">
        <is>
          <t>Envase/pieza publicado; ver nota</t>
        </is>
      </c>
      <c r="E331" s="32" t="n"/>
      <c r="F331" s="32" t="n">
        <v>3.99</v>
      </c>
      <c r="G331" s="32" t="n"/>
      <c r="H331" s="32" t="n"/>
      <c r="I331" s="32" t="n"/>
      <c r="J331" s="28">
        <f>IF(COUNT(E331:I331)=0,"",IF(COUNT(E331:I331)=1,"Solo dato","Ver formatos"))</f>
        <v/>
      </c>
      <c r="K331" s="31" t="inlineStr">
        <is>
          <t>Fuentes y productos en notas de precios.</t>
        </is>
      </c>
    </row>
    <row r="332" ht="15" customHeight="1" s="17">
      <c r="A332" s="29" t="inlineStr">
        <is>
          <t>Fregona de repuesto</t>
        </is>
      </c>
      <c r="B332" s="29" t="inlineStr">
        <is>
          <t>Hogar y bricolaje</t>
        </is>
      </c>
      <c r="C332" s="30" t="inlineStr">
        <is>
          <t>ud</t>
        </is>
      </c>
      <c r="D332" s="31" t="n"/>
      <c r="E332" s="32" t="n"/>
      <c r="F332" s="32" t="n"/>
      <c r="G332" s="32" t="n">
        <v>1.47</v>
      </c>
      <c r="H332" s="32" t="n"/>
      <c r="I332" s="32" t="n"/>
      <c r="J332" s="28">
        <f>IF(COUNT(E332:I332)=0,"",INDEX($E$1:$I$1,MATCH(MIN(E332:I332),E332:I332,0)))</f>
        <v/>
      </c>
      <c r="K332" s="31" t="n"/>
    </row>
    <row r="333" ht="15" customHeight="1" s="17">
      <c r="A333" s="29" t="inlineStr">
        <is>
          <t>Mechero</t>
        </is>
      </c>
      <c r="B333" s="29" t="inlineStr">
        <is>
          <t>Hogar y bricolaje</t>
        </is>
      </c>
      <c r="C333" s="30" t="inlineStr">
        <is>
          <t>ud</t>
        </is>
      </c>
      <c r="D333" s="31" t="n"/>
      <c r="E333" s="32" t="n"/>
      <c r="F333" s="32" t="n"/>
      <c r="G333" s="32" t="n"/>
      <c r="H333" s="32" t="n"/>
      <c r="I333" s="32" t="n"/>
      <c r="J333" s="28">
        <f>IF(COUNT(E333:I333)=0,"",INDEX($E$1:$I$1,MATCH(MIN(E333:I333),E333:I333,0)))</f>
        <v/>
      </c>
      <c r="K333" s="31" t="n"/>
    </row>
    <row r="334" ht="34" customHeight="1" s="17">
      <c r="A334" s="29" t="inlineStr">
        <is>
          <t>Pegamento</t>
        </is>
      </c>
      <c r="B334" s="29" t="inlineStr">
        <is>
          <t>Hogar y bricolaje</t>
        </is>
      </c>
      <c r="C334" s="30" t="inlineStr">
        <is>
          <t>ud</t>
        </is>
      </c>
      <c r="D334" s="31" t="inlineStr">
        <is>
          <t>Envase/pieza publicado; ver nota</t>
        </is>
      </c>
      <c r="E334" s="32" t="n"/>
      <c r="F334" s="32" t="n"/>
      <c r="G334" s="32" t="n"/>
      <c r="H334" s="32" t="n">
        <v>3.39</v>
      </c>
      <c r="I334" s="32" t="n"/>
      <c r="J334" s="28">
        <f>IF(COUNT(E334:I334)=0,"",IF(COUNT(E334:I334)=1,"Solo dato","Ver formatos"))</f>
        <v/>
      </c>
      <c r="K334" s="31" t="inlineStr">
        <is>
          <t>Fuentes y productos en notas de precios.</t>
        </is>
      </c>
    </row>
    <row r="335" ht="34" customHeight="1" s="17">
      <c r="A335" s="29" t="inlineStr">
        <is>
          <t>Perchas</t>
        </is>
      </c>
      <c r="B335" s="29" t="inlineStr">
        <is>
          <t>Hogar y bricolaje</t>
        </is>
      </c>
      <c r="C335" s="30" t="inlineStr">
        <is>
          <t>ud</t>
        </is>
      </c>
      <c r="D335" s="31" t="inlineStr">
        <is>
          <t>Envase/pieza publicado; ver nota</t>
        </is>
      </c>
      <c r="E335" s="32" t="n"/>
      <c r="F335" s="32" t="n">
        <v>4.99</v>
      </c>
      <c r="G335" s="32" t="n"/>
      <c r="H335" s="32" t="n"/>
      <c r="I335" s="32" t="n"/>
      <c r="J335" s="28">
        <f>IF(COUNT(E335:I335)=0,"",IF(COUNT(E335:I335)=1,"Solo dato","Ver formatos"))</f>
        <v/>
      </c>
      <c r="K335" s="31" t="inlineStr">
        <is>
          <t>Fuentes y productos en notas de precios.</t>
        </is>
      </c>
    </row>
    <row r="336" ht="34" customHeight="1" s="17">
      <c r="A336" s="29" t="inlineStr">
        <is>
          <t>Pila de botón</t>
        </is>
      </c>
      <c r="B336" s="29" t="inlineStr">
        <is>
          <t>Hogar y bricolaje</t>
        </is>
      </c>
      <c r="C336" s="30" t="inlineStr">
        <is>
          <t>ud</t>
        </is>
      </c>
      <c r="D336" s="31" t="inlineStr">
        <is>
          <t>2 U</t>
        </is>
      </c>
      <c r="E336" s="32" t="n"/>
      <c r="F336" s="32" t="n"/>
      <c r="G336" s="32" t="n"/>
      <c r="H336" s="32" t="n"/>
      <c r="I336" s="32" t="n">
        <v>4.89</v>
      </c>
      <c r="J336" s="28">
        <f>IF(COUNT(E336:I336)=0,"",IF(COUNT(E336:I336)=1,"Solo dato","Ver formatos"))</f>
        <v/>
      </c>
      <c r="K336" s="31" t="inlineStr">
        <is>
          <t>Fuentes y productos en notas de precios.</t>
        </is>
      </c>
    </row>
    <row r="337" ht="34" customHeight="1" s="17">
      <c r="A337" s="29" t="inlineStr">
        <is>
          <t>Pilas AA</t>
        </is>
      </c>
      <c r="B337" s="29" t="inlineStr">
        <is>
          <t>Hogar y bricolaje</t>
        </is>
      </c>
      <c r="C337" s="30" t="inlineStr">
        <is>
          <t>ud</t>
        </is>
      </c>
      <c r="D337" s="31" t="inlineStr">
        <is>
          <t>16 U</t>
        </is>
      </c>
      <c r="E337" s="32" t="n"/>
      <c r="F337" s="32" t="n"/>
      <c r="G337" s="32" t="n"/>
      <c r="H337" s="32" t="n"/>
      <c r="I337" s="32" t="n">
        <v>3.35</v>
      </c>
      <c r="J337" s="28">
        <f>IF(COUNT(E337:I337)=0,"",IF(COUNT(E337:I337)=1,"Solo dato","Ver formatos"))</f>
        <v/>
      </c>
      <c r="K337" s="31" t="inlineStr">
        <is>
          <t>Fuentes y productos en notas de precios.</t>
        </is>
      </c>
    </row>
    <row r="338" ht="34" customHeight="1" s="17">
      <c r="A338" s="29" t="inlineStr">
        <is>
          <t>Pilas AAA</t>
        </is>
      </c>
      <c r="B338" s="29" t="inlineStr">
        <is>
          <t>Hogar y bricolaje</t>
        </is>
      </c>
      <c r="C338" s="30" t="inlineStr">
        <is>
          <t>ud</t>
        </is>
      </c>
      <c r="D338" s="31" t="inlineStr">
        <is>
          <t>16 U</t>
        </is>
      </c>
      <c r="E338" s="32" t="n"/>
      <c r="F338" s="32" t="n"/>
      <c r="G338" s="32" t="n"/>
      <c r="H338" s="32" t="n"/>
      <c r="I338" s="32" t="n">
        <v>3.35</v>
      </c>
      <c r="J338" s="28">
        <f>IF(COUNT(E338:I338)=0,"",IF(COUNT(E338:I338)=1,"Solo dato","Ver formatos"))</f>
        <v/>
      </c>
      <c r="K338" s="31" t="inlineStr">
        <is>
          <t>Fuentes y productos en notas de precios.</t>
        </is>
      </c>
    </row>
    <row r="339" ht="34" customHeight="1" s="17">
      <c r="A339" s="29" t="inlineStr">
        <is>
          <t>Plantas</t>
        </is>
      </c>
      <c r="B339" s="29" t="inlineStr">
        <is>
          <t>Hogar y bricolaje</t>
        </is>
      </c>
      <c r="C339" s="30" t="inlineStr">
        <is>
          <t>ud</t>
        </is>
      </c>
      <c r="D339" s="31" t="inlineStr">
        <is>
          <t>1 ud</t>
        </is>
      </c>
      <c r="E339" s="32" t="n"/>
      <c r="F339" s="32" t="n"/>
      <c r="G339" s="32" t="n">
        <v>1.99</v>
      </c>
      <c r="H339" s="32" t="n"/>
      <c r="I339" s="32" t="n"/>
      <c r="J339" s="28">
        <f>IF(COUNT(E339:I339)=0,"",IF(COUNT(E339:I339)=1,"Solo dato","Ver formatos"))</f>
        <v/>
      </c>
      <c r="K339" s="31" t="inlineStr">
        <is>
          <t>Fuentes y productos en notas de precios. Incluye oferta.</t>
        </is>
      </c>
    </row>
    <row r="340" ht="34" customHeight="1" s="17">
      <c r="A340" s="29" t="inlineStr">
        <is>
          <t>Platos</t>
        </is>
      </c>
      <c r="B340" s="29" t="inlineStr">
        <is>
          <t>Hogar y bricolaje</t>
        </is>
      </c>
      <c r="C340" s="30" t="inlineStr">
        <is>
          <t>ud</t>
        </is>
      </c>
      <c r="D340" s="31" t="inlineStr">
        <is>
          <t>15 ud</t>
        </is>
      </c>
      <c r="E340" s="32" t="n">
        <v>1.45</v>
      </c>
      <c r="F340" s="32" t="n"/>
      <c r="G340" s="32" t="n"/>
      <c r="H340" s="32" t="n"/>
      <c r="I340" s="32" t="n"/>
      <c r="J340" s="28">
        <f>IF(COUNT(E340:I340)=0,"",IF(COUNT(E340:I340)=1,"Solo dato","Ver formatos"))</f>
        <v/>
      </c>
      <c r="K340" s="31" t="inlineStr">
        <is>
          <t>Fuentes y productos en notas de precios. M: fuente indirecta.</t>
        </is>
      </c>
    </row>
    <row r="341" ht="15" customHeight="1" s="17">
      <c r="A341" s="29" t="inlineStr">
        <is>
          <t>Recogedor</t>
        </is>
      </c>
      <c r="B341" s="29" t="inlineStr">
        <is>
          <t>Hogar y bricolaje</t>
        </is>
      </c>
      <c r="C341" s="30" t="inlineStr">
        <is>
          <t>ud</t>
        </is>
      </c>
      <c r="D341" s="31" t="n"/>
      <c r="E341" s="32" t="n"/>
      <c r="F341" s="32" t="n"/>
      <c r="G341" s="32" t="n"/>
      <c r="H341" s="32" t="n"/>
      <c r="I341" s="32" t="n"/>
      <c r="J341" s="28">
        <f>IF(COUNT(E341:I341)=0,"",INDEX($E$1:$I$1,MATCH(MIN(E341:I341),E341:I341,0)))</f>
        <v/>
      </c>
      <c r="K341" s="31" t="n"/>
    </row>
    <row r="342" ht="34" customHeight="1" s="17">
      <c r="A342" s="29" t="inlineStr">
        <is>
          <t>Regleta</t>
        </is>
      </c>
      <c r="B342" s="29" t="inlineStr">
        <is>
          <t>Hogar y bricolaje</t>
        </is>
      </c>
      <c r="C342" s="30" t="inlineStr">
        <is>
          <t>ud</t>
        </is>
      </c>
      <c r="D342" s="31" t="inlineStr">
        <is>
          <t>Envase/pieza publicado; ver nota</t>
        </is>
      </c>
      <c r="E342" s="32" t="n"/>
      <c r="F342" s="32" t="n">
        <v>11.99</v>
      </c>
      <c r="G342" s="32" t="n"/>
      <c r="H342" s="32" t="n"/>
      <c r="I342" s="32" t="n"/>
      <c r="J342" s="28">
        <f>IF(COUNT(E342:I342)=0,"",IF(COUNT(E342:I342)=1,"Solo dato","Ver formatos"))</f>
        <v/>
      </c>
      <c r="K342" s="31" t="inlineStr">
        <is>
          <t>Fuentes y productos en notas de precios.</t>
        </is>
      </c>
    </row>
    <row r="343" ht="34" customHeight="1" s="17">
      <c r="A343" s="29" t="inlineStr">
        <is>
          <t>Sartén</t>
        </is>
      </c>
      <c r="B343" s="29" t="inlineStr">
        <is>
          <t>Hogar y bricolaje</t>
        </is>
      </c>
      <c r="C343" s="30" t="inlineStr">
        <is>
          <t>ud</t>
        </is>
      </c>
      <c r="D343" s="31" t="inlineStr">
        <is>
          <t>Envase/pieza publicado; ver nota</t>
        </is>
      </c>
      <c r="E343" s="32" t="n"/>
      <c r="F343" s="32" t="n">
        <v>4.99</v>
      </c>
      <c r="G343" s="32" t="n"/>
      <c r="H343" s="32" t="n"/>
      <c r="I343" s="32" t="n"/>
      <c r="J343" s="28">
        <f>IF(COUNT(E343:I343)=0,"",IF(COUNT(E343:I343)=1,"Solo dato","Ver formatos"))</f>
        <v/>
      </c>
      <c r="K343" s="31" t="inlineStr">
        <is>
          <t>Fuentes y productos en notas de precios.</t>
        </is>
      </c>
    </row>
    <row r="344" ht="34" customHeight="1" s="17">
      <c r="A344" s="29" t="inlineStr">
        <is>
          <t>Sábanas</t>
        </is>
      </c>
      <c r="B344" s="29" t="inlineStr">
        <is>
          <t>Hogar y bricolaje</t>
        </is>
      </c>
      <c r="C344" s="30" t="inlineStr">
        <is>
          <t>ud</t>
        </is>
      </c>
      <c r="D344" s="31" t="inlineStr">
        <is>
          <t>Envase/pieza publicado; ver nota</t>
        </is>
      </c>
      <c r="E344" s="32" t="n"/>
      <c r="F344" s="32" t="n">
        <v>5.99</v>
      </c>
      <c r="G344" s="32" t="n"/>
      <c r="H344" s="32" t="n"/>
      <c r="I344" s="32" t="n"/>
      <c r="J344" s="28">
        <f>IF(COUNT(E344:I344)=0,"",IF(COUNT(E344:I344)=1,"Solo dato","Ver formatos"))</f>
        <v/>
      </c>
      <c r="K344" s="31" t="inlineStr">
        <is>
          <t>Fuentes y productos en notas de precios.</t>
        </is>
      </c>
    </row>
    <row r="345" ht="15" customHeight="1" s="17">
      <c r="A345" s="29" t="inlineStr">
        <is>
          <t>Tacos</t>
        </is>
      </c>
      <c r="B345" s="29" t="inlineStr">
        <is>
          <t>Hogar y bricolaje</t>
        </is>
      </c>
      <c r="C345" s="30" t="inlineStr">
        <is>
          <t>ud</t>
        </is>
      </c>
      <c r="D345" s="31" t="n"/>
      <c r="E345" s="32" t="n"/>
      <c r="F345" s="32" t="n"/>
      <c r="G345" s="32" t="n"/>
      <c r="H345" s="32" t="n"/>
      <c r="I345" s="32" t="n"/>
      <c r="J345" s="28">
        <f>IF(COUNT(E345:I345)=0,"",INDEX($E$1:$I$1,MATCH(MIN(E345:I345),E345:I345,0)))</f>
        <v/>
      </c>
      <c r="K345" s="31" t="n"/>
    </row>
    <row r="346" ht="15" customHeight="1" s="17">
      <c r="A346" s="29" t="inlineStr">
        <is>
          <t>Tierra para plantas</t>
        </is>
      </c>
      <c r="B346" s="29" t="inlineStr">
        <is>
          <t>Hogar y bricolaje</t>
        </is>
      </c>
      <c r="C346" s="30" t="inlineStr">
        <is>
          <t>ud</t>
        </is>
      </c>
      <c r="D346" s="31" t="n"/>
      <c r="E346" s="32" t="n"/>
      <c r="F346" s="32" t="n"/>
      <c r="G346" s="32" t="n"/>
      <c r="H346" s="32" t="n"/>
      <c r="I346" s="32" t="n"/>
      <c r="J346" s="28">
        <f>IF(COUNT(E346:I346)=0,"",INDEX($E$1:$I$1,MATCH(MIN(E346:I346),E346:I346,0)))</f>
        <v/>
      </c>
      <c r="K346" s="31" t="n"/>
    </row>
    <row r="347" ht="34" customHeight="1" s="17">
      <c r="A347" s="29" t="inlineStr">
        <is>
          <t>Toallas</t>
        </is>
      </c>
      <c r="B347" s="29" t="inlineStr">
        <is>
          <t>Hogar y bricolaje</t>
        </is>
      </c>
      <c r="C347" s="30" t="inlineStr">
        <is>
          <t>ud</t>
        </is>
      </c>
      <c r="D347" s="31" t="inlineStr">
        <is>
          <t>Envase/pieza publicado; ver nota</t>
        </is>
      </c>
      <c r="E347" s="32" t="n"/>
      <c r="F347" s="32" t="n">
        <v>7.99</v>
      </c>
      <c r="G347" s="32" t="n"/>
      <c r="H347" s="32" t="n"/>
      <c r="I347" s="32" t="n"/>
      <c r="J347" s="28">
        <f>IF(COUNT(E347:I347)=0,"",IF(COUNT(E347:I347)=1,"Solo dato","Ver formatos"))</f>
        <v/>
      </c>
      <c r="K347" s="31" t="inlineStr">
        <is>
          <t>Fuentes y productos en notas de precios.</t>
        </is>
      </c>
    </row>
    <row r="348" ht="15" customHeight="1" s="17">
      <c r="A348" s="29" t="inlineStr">
        <is>
          <t>Tornillos</t>
        </is>
      </c>
      <c r="B348" s="29" t="inlineStr">
        <is>
          <t>Hogar y bricolaje</t>
        </is>
      </c>
      <c r="C348" s="30" t="inlineStr">
        <is>
          <t>ud</t>
        </is>
      </c>
      <c r="D348" s="31" t="n"/>
      <c r="E348" s="32" t="n"/>
      <c r="F348" s="32" t="n"/>
      <c r="G348" s="32" t="n"/>
      <c r="H348" s="32" t="n"/>
      <c r="I348" s="32" t="n"/>
      <c r="J348" s="28">
        <f>IF(COUNT(E348:I348)=0,"",INDEX($E$1:$I$1,MATCH(MIN(E348:I348),E348:I348,0)))</f>
        <v/>
      </c>
      <c r="K348" s="31" t="n"/>
    </row>
    <row r="349" ht="34" customHeight="1" s="17">
      <c r="A349" s="29" t="inlineStr">
        <is>
          <t>Tupper</t>
        </is>
      </c>
      <c r="B349" s="29" t="inlineStr">
        <is>
          <t>Hogar y bricolaje</t>
        </is>
      </c>
      <c r="C349" s="30" t="inlineStr">
        <is>
          <t>ud</t>
        </is>
      </c>
      <c r="D349" s="31" t="inlineStr">
        <is>
          <t>6 x 1,2 l</t>
        </is>
      </c>
      <c r="E349" s="32" t="n"/>
      <c r="F349" s="32" t="n">
        <v>10.99</v>
      </c>
      <c r="G349" s="32" t="n"/>
      <c r="H349" s="32" t="n"/>
      <c r="I349" s="32" t="n"/>
      <c r="J349" s="28">
        <f>IF(COUNT(E349:I349)=0,"",IF(COUNT(E349:I349)=1,"Solo dato","Ver formatos"))</f>
        <v/>
      </c>
      <c r="K349" s="31" t="inlineStr">
        <is>
          <t>Fuentes y productos en notas de precios.</t>
        </is>
      </c>
    </row>
    <row r="350" ht="38" customHeight="1" s="17">
      <c r="A350" s="29" t="inlineStr">
        <is>
          <t>Vasos</t>
        </is>
      </c>
      <c r="B350" s="29" t="inlineStr">
        <is>
          <t>Hogar y bricolaje</t>
        </is>
      </c>
      <c r="C350" s="30" t="inlineStr">
        <is>
          <t>ud</t>
        </is>
      </c>
      <c r="D350" s="31" t="inlineStr">
        <is>
          <t>M: 20 ud
L: Envase/pieza publicado; ver nota</t>
        </is>
      </c>
      <c r="E350" s="32" t="n">
        <v>1.35</v>
      </c>
      <c r="F350" s="32" t="n">
        <v>6.99</v>
      </c>
      <c r="G350" s="32" t="n"/>
      <c r="H350" s="32" t="n"/>
      <c r="I350" s="32" t="n"/>
      <c r="J350" s="28">
        <f>IF(COUNT(E350:I350)=0,"",IF(COUNT(E350:I350)=1,"Solo dato","Ver formatos"))</f>
        <v/>
      </c>
      <c r="K350" s="31" t="inlineStr">
        <is>
          <t>Fuentes y productos en notas de precios. M: fuente indirecta.</t>
        </is>
      </c>
    </row>
    <row r="351" ht="34" customHeight="1" s="17">
      <c r="A351" s="29" t="inlineStr">
        <is>
          <t>Velas</t>
        </is>
      </c>
      <c r="B351" s="29" t="inlineStr">
        <is>
          <t>Hogar y bricolaje</t>
        </is>
      </c>
      <c r="C351" s="30" t="inlineStr">
        <is>
          <t>ud</t>
        </is>
      </c>
      <c r="D351" s="31" t="inlineStr">
        <is>
          <t>1 U</t>
        </is>
      </c>
      <c r="E351" s="32" t="n"/>
      <c r="F351" s="32" t="n"/>
      <c r="G351" s="32" t="n">
        <v>1.79</v>
      </c>
      <c r="H351" s="32" t="n"/>
      <c r="I351" s="32" t="n">
        <v>1.99</v>
      </c>
      <c r="J351" s="28">
        <f>IF(COUNT(E351:I351)=0,"",IF(COUNT(E351:I351)=1,"Solo dato","Ver formatos"))</f>
        <v/>
      </c>
      <c r="K351" s="31" t="inlineStr">
        <is>
          <t>Fuentes y productos en notas de precios.</t>
        </is>
      </c>
    </row>
    <row r="352" ht="34" customHeight="1" s="17">
      <c r="A352" s="29" t="inlineStr">
        <is>
          <t>Acuarelas</t>
        </is>
      </c>
      <c r="B352" s="29" t="inlineStr">
        <is>
          <t>Papelería y oficina</t>
        </is>
      </c>
      <c r="C352" s="30" t="inlineStr">
        <is>
          <t>ud</t>
        </is>
      </c>
      <c r="D352" s="31" t="inlineStr">
        <is>
          <t>Envase/pieza publicado; ver nota</t>
        </is>
      </c>
      <c r="E352" s="32" t="n"/>
      <c r="F352" s="32" t="n">
        <v>2.49</v>
      </c>
      <c r="G352" s="32" t="n"/>
      <c r="H352" s="32" t="n"/>
      <c r="I352" s="32" t="n"/>
      <c r="J352" s="28">
        <f>IF(COUNT(E352:I352)=0,"",IF(COUNT(E352:I352)=1,"Solo dato","Ver formatos"))</f>
        <v/>
      </c>
      <c r="K352" s="31" t="inlineStr">
        <is>
          <t>Fuentes y productos en notas de precios.</t>
        </is>
      </c>
    </row>
    <row r="353" ht="15" customHeight="1" s="17">
      <c r="A353" s="29" t="inlineStr">
        <is>
          <t>Agenda</t>
        </is>
      </c>
      <c r="B353" s="29" t="inlineStr">
        <is>
          <t>Papelería y oficina</t>
        </is>
      </c>
      <c r="C353" s="30" t="inlineStr">
        <is>
          <t>ud</t>
        </is>
      </c>
      <c r="D353" s="31" t="n"/>
      <c r="E353" s="32" t="n"/>
      <c r="F353" s="32" t="n"/>
      <c r="G353" s="32" t="n"/>
      <c r="H353" s="32" t="n"/>
      <c r="I353" s="32" t="n"/>
      <c r="J353" s="28">
        <f>IF(COUNT(E353:I353)=0,"",INDEX($E$1:$I$1,MATCH(MIN(E353:I353),E353:I353,0)))</f>
        <v/>
      </c>
      <c r="K353" s="31" t="n"/>
    </row>
    <row r="354" ht="34" customHeight="1" s="17">
      <c r="A354" s="29" t="inlineStr">
        <is>
          <t>Bolígrafos</t>
        </is>
      </c>
      <c r="B354" s="29" t="inlineStr">
        <is>
          <t>Papelería y oficina</t>
        </is>
      </c>
      <c r="C354" s="30" t="inlineStr">
        <is>
          <t>ud</t>
        </is>
      </c>
      <c r="D354" s="31" t="inlineStr">
        <is>
          <t>5 ud</t>
        </is>
      </c>
      <c r="E354" s="32" t="n"/>
      <c r="F354" s="32" t="n"/>
      <c r="G354" s="32" t="n"/>
      <c r="H354" s="32" t="n">
        <v>2.79</v>
      </c>
      <c r="I354" s="32" t="n"/>
      <c r="J354" s="28">
        <f>IF(COUNT(E354:I354)=0,"",IF(COUNT(E354:I354)=1,"Solo dato","Ver formatos"))</f>
        <v/>
      </c>
      <c r="K354" s="31" t="inlineStr">
        <is>
          <t>Fuentes y productos en notas de precios.</t>
        </is>
      </c>
    </row>
    <row r="355" ht="34" customHeight="1" s="17">
      <c r="A355" s="29" t="inlineStr">
        <is>
          <t>Carpetas</t>
        </is>
      </c>
      <c r="B355" s="29" t="inlineStr">
        <is>
          <t>Papelería y oficina</t>
        </is>
      </c>
      <c r="C355" s="30" t="inlineStr">
        <is>
          <t>ud</t>
        </is>
      </c>
      <c r="D355" s="31" t="inlineStr">
        <is>
          <t>Envase/pieza publicado; ver nota</t>
        </is>
      </c>
      <c r="E355" s="32" t="n"/>
      <c r="F355" s="32" t="n">
        <v>2.99</v>
      </c>
      <c r="G355" s="32" t="n"/>
      <c r="H355" s="32" t="n">
        <v>2.59</v>
      </c>
      <c r="I355" s="32" t="n"/>
      <c r="J355" s="28">
        <f>IF(COUNT(E355:I355)=0,"",IF(COUNT(E355:I355)=1,"Solo dato","Ver formatos"))</f>
        <v/>
      </c>
      <c r="K355" s="31" t="inlineStr">
        <is>
          <t>Fuentes y productos en notas de precios.</t>
        </is>
      </c>
    </row>
    <row r="356" ht="15" customHeight="1" s="17">
      <c r="A356" s="29" t="inlineStr">
        <is>
          <t>Cartuchos de tinta</t>
        </is>
      </c>
      <c r="B356" s="29" t="inlineStr">
        <is>
          <t>Papelería y oficina</t>
        </is>
      </c>
      <c r="C356" s="30" t="inlineStr">
        <is>
          <t>ud</t>
        </is>
      </c>
      <c r="D356" s="31" t="n"/>
      <c r="E356" s="32" t="n"/>
      <c r="F356" s="32" t="n"/>
      <c r="G356" s="32" t="n"/>
      <c r="H356" s="32" t="n"/>
      <c r="I356" s="32" t="n"/>
      <c r="J356" s="28">
        <f>IF(COUNT(E356:I356)=0,"",INDEX($E$1:$I$1,MATCH(MIN(E356:I356),E356:I356,0)))</f>
        <v/>
      </c>
      <c r="K356" s="31" t="n"/>
    </row>
    <row r="357" ht="34" customHeight="1" s="17">
      <c r="A357" s="29" t="inlineStr">
        <is>
          <t>Cartulinas</t>
        </is>
      </c>
      <c r="B357" s="29" t="inlineStr">
        <is>
          <t>Papelería y oficina</t>
        </is>
      </c>
      <c r="C357" s="30" t="inlineStr">
        <is>
          <t>ud</t>
        </is>
      </c>
      <c r="D357" s="31" t="inlineStr">
        <is>
          <t>Envase/pieza publicado; ver nota</t>
        </is>
      </c>
      <c r="E357" s="32" t="n"/>
      <c r="F357" s="32" t="n">
        <v>1.69</v>
      </c>
      <c r="G357" s="32" t="n"/>
      <c r="H357" s="32" t="n"/>
      <c r="I357" s="32" t="n"/>
      <c r="J357" s="28">
        <f>IF(COUNT(E357:I357)=0,"",IF(COUNT(E357:I357)=1,"Solo dato","Ver formatos"))</f>
        <v/>
      </c>
      <c r="K357" s="31" t="inlineStr">
        <is>
          <t>Fuentes y productos en notas de precios.</t>
        </is>
      </c>
    </row>
    <row r="358" ht="34" customHeight="1" s="17">
      <c r="A358" s="29" t="inlineStr">
        <is>
          <t>Ceras</t>
        </is>
      </c>
      <c r="B358" s="29" t="inlineStr">
        <is>
          <t>Papelería y oficina</t>
        </is>
      </c>
      <c r="C358" s="30" t="inlineStr">
        <is>
          <t>ud</t>
        </is>
      </c>
      <c r="D358" s="31" t="inlineStr">
        <is>
          <t>12 ud</t>
        </is>
      </c>
      <c r="E358" s="32" t="n"/>
      <c r="F358" s="32" t="n"/>
      <c r="G358" s="32" t="n"/>
      <c r="H358" s="32" t="n">
        <v>2.79</v>
      </c>
      <c r="I358" s="32" t="n"/>
      <c r="J358" s="28">
        <f>IF(COUNT(E358:I358)=0,"",IF(COUNT(E358:I358)=1,"Solo dato","Ver formatos"))</f>
        <v/>
      </c>
      <c r="K358" s="31" t="inlineStr">
        <is>
          <t>Fuentes y productos en notas de precios.</t>
        </is>
      </c>
    </row>
    <row r="359" ht="15" customHeight="1" s="17">
      <c r="A359" s="29" t="inlineStr">
        <is>
          <t>Cinta adhesiva</t>
        </is>
      </c>
      <c r="B359" s="29" t="inlineStr">
        <is>
          <t>Papelería y oficina</t>
        </is>
      </c>
      <c r="C359" s="30" t="inlineStr">
        <is>
          <t>ud</t>
        </is>
      </c>
      <c r="D359" s="31" t="n"/>
      <c r="E359" s="32" t="n"/>
      <c r="F359" s="32" t="n"/>
      <c r="G359" s="32" t="n"/>
      <c r="H359" s="32" t="n"/>
      <c r="I359" s="32" t="n"/>
      <c r="J359" s="28">
        <f>IF(COUNT(E359:I359)=0,"",INDEX($E$1:$I$1,MATCH(MIN(E359:I359),E359:I359,0)))</f>
        <v/>
      </c>
      <c r="K359" s="31" t="n"/>
    </row>
    <row r="360" ht="15" customHeight="1" s="17">
      <c r="A360" s="29" t="inlineStr">
        <is>
          <t>Clips</t>
        </is>
      </c>
      <c r="B360" s="29" t="inlineStr">
        <is>
          <t>Papelería y oficina</t>
        </is>
      </c>
      <c r="C360" s="30" t="inlineStr">
        <is>
          <t>ud</t>
        </is>
      </c>
      <c r="D360" s="31" t="n"/>
      <c r="E360" s="32" t="n"/>
      <c r="F360" s="32" t="n"/>
      <c r="G360" s="32" t="n"/>
      <c r="H360" s="32" t="n"/>
      <c r="I360" s="32" t="n"/>
      <c r="J360" s="28">
        <f>IF(COUNT(E360:I360)=0,"",INDEX($E$1:$I$1,MATCH(MIN(E360:I360),E360:I360,0)))</f>
        <v/>
      </c>
      <c r="K360" s="31" t="n"/>
    </row>
    <row r="361" ht="34" customHeight="1" s="17">
      <c r="A361" s="29" t="inlineStr">
        <is>
          <t>Cuaderno</t>
        </is>
      </c>
      <c r="B361" s="29" t="inlineStr">
        <is>
          <t>Papelería y oficina</t>
        </is>
      </c>
      <c r="C361" s="30" t="inlineStr">
        <is>
          <t>ud</t>
        </is>
      </c>
      <c r="D361" s="31" t="inlineStr">
        <is>
          <t>Envase/pieza publicado; ver nota</t>
        </is>
      </c>
      <c r="E361" s="32" t="n"/>
      <c r="F361" s="32" t="n">
        <v>3.99</v>
      </c>
      <c r="G361" s="32" t="n"/>
      <c r="H361" s="32" t="n"/>
      <c r="I361" s="32" t="n"/>
      <c r="J361" s="28">
        <f>IF(COUNT(E361:I361)=0,"",IF(COUNT(E361:I361)=1,"Solo dato","Ver formatos"))</f>
        <v/>
      </c>
      <c r="K361" s="31" t="inlineStr">
        <is>
          <t>Fuentes y productos en notas de precios.</t>
        </is>
      </c>
    </row>
    <row r="362" ht="15" customHeight="1" s="17">
      <c r="A362" s="29" t="inlineStr">
        <is>
          <t>Estuche</t>
        </is>
      </c>
      <c r="B362" s="29" t="inlineStr">
        <is>
          <t>Papelería y oficina</t>
        </is>
      </c>
      <c r="C362" s="30" t="inlineStr">
        <is>
          <t>ud</t>
        </is>
      </c>
      <c r="D362" s="31" t="n"/>
      <c r="E362" s="32" t="n"/>
      <c r="F362" s="32" t="n"/>
      <c r="G362" s="32" t="n"/>
      <c r="H362" s="32" t="n"/>
      <c r="I362" s="32" t="n"/>
      <c r="J362" s="28">
        <f>IF(COUNT(E362:I362)=0,"",INDEX($E$1:$I$1,MATCH(MIN(E362:I362),E362:I362,0)))</f>
        <v/>
      </c>
      <c r="K362" s="31" t="n"/>
    </row>
    <row r="363" ht="34" customHeight="1" s="17">
      <c r="A363" s="29" t="inlineStr">
        <is>
          <t>Folios</t>
        </is>
      </c>
      <c r="B363" s="29" t="inlineStr">
        <is>
          <t>Papelería y oficina</t>
        </is>
      </c>
      <c r="C363" s="30" t="inlineStr">
        <is>
          <t>ud</t>
        </is>
      </c>
      <c r="D363" s="31" t="inlineStr">
        <is>
          <t>75 g</t>
        </is>
      </c>
      <c r="E363" s="32" t="n"/>
      <c r="F363" s="32" t="n"/>
      <c r="G363" s="32" t="n"/>
      <c r="H363" s="32" t="n">
        <v>4.19</v>
      </c>
      <c r="I363" s="32" t="n"/>
      <c r="J363" s="28">
        <f>IF(COUNT(E363:I363)=0,"",IF(COUNT(E363:I363)=1,"Solo dato","Ver formatos"))</f>
        <v/>
      </c>
      <c r="K363" s="31" t="inlineStr">
        <is>
          <t>Fuentes y productos en notas de precios.</t>
        </is>
      </c>
    </row>
    <row r="364" ht="15" customHeight="1" s="17">
      <c r="A364" s="29" t="inlineStr">
        <is>
          <t>Fundas de plástico</t>
        </is>
      </c>
      <c r="B364" s="29" t="inlineStr">
        <is>
          <t>Papelería y oficina</t>
        </is>
      </c>
      <c r="C364" s="30" t="inlineStr">
        <is>
          <t>ud</t>
        </is>
      </c>
      <c r="D364" s="31" t="n"/>
      <c r="E364" s="32" t="n"/>
      <c r="F364" s="32" t="n"/>
      <c r="G364" s="32" t="n"/>
      <c r="H364" s="32" t="n"/>
      <c r="I364" s="32" t="n"/>
      <c r="J364" s="28">
        <f>IF(COUNT(E364:I364)=0,"",INDEX($E$1:$I$1,MATCH(MIN(E364:I364),E364:I364,0)))</f>
        <v/>
      </c>
      <c r="K364" s="31" t="n"/>
    </row>
    <row r="365" ht="34" customHeight="1" s="17">
      <c r="A365" s="29" t="inlineStr">
        <is>
          <t>Gomas de borrar</t>
        </is>
      </c>
      <c r="B365" s="29" t="inlineStr">
        <is>
          <t>Papelería y oficina</t>
        </is>
      </c>
      <c r="C365" s="30" t="inlineStr">
        <is>
          <t>ud</t>
        </is>
      </c>
      <c r="D365" s="31" t="inlineStr">
        <is>
          <t>Envase/pieza publicado; ver nota</t>
        </is>
      </c>
      <c r="E365" s="32" t="n"/>
      <c r="F365" s="32" t="n"/>
      <c r="G365" s="32" t="n"/>
      <c r="H365" s="32" t="n">
        <v>1.29</v>
      </c>
      <c r="I365" s="32" t="n"/>
      <c r="J365" s="28">
        <f>IF(COUNT(E365:I365)=0,"",IF(COUNT(E365:I365)=1,"Solo dato","Ver formatos"))</f>
        <v/>
      </c>
      <c r="K365" s="31" t="inlineStr">
        <is>
          <t>Fuentes y productos en notas de precios.</t>
        </is>
      </c>
    </row>
    <row r="366" ht="15" customHeight="1" s="17">
      <c r="A366" s="29" t="inlineStr">
        <is>
          <t>Grapas</t>
        </is>
      </c>
      <c r="B366" s="29" t="inlineStr">
        <is>
          <t>Papelería y oficina</t>
        </is>
      </c>
      <c r="C366" s="30" t="inlineStr">
        <is>
          <t>ud</t>
        </is>
      </c>
      <c r="D366" s="31" t="n"/>
      <c r="E366" s="32" t="n"/>
      <c r="F366" s="32" t="n"/>
      <c r="G366" s="32" t="n"/>
      <c r="H366" s="32" t="n"/>
      <c r="I366" s="32" t="n"/>
      <c r="J366" s="28">
        <f>IF(COUNT(E366:I366)=0,"",INDEX($E$1:$I$1,MATCH(MIN(E366:I366),E366:I366,0)))</f>
        <v/>
      </c>
      <c r="K366" s="31" t="n"/>
    </row>
    <row r="367" ht="15" customHeight="1" s="17">
      <c r="A367" s="29" t="inlineStr">
        <is>
          <t>Libreta</t>
        </is>
      </c>
      <c r="B367" s="29" t="inlineStr">
        <is>
          <t>Papelería y oficina</t>
        </is>
      </c>
      <c r="C367" s="30" t="inlineStr">
        <is>
          <t>ud</t>
        </is>
      </c>
      <c r="D367" s="31" t="n"/>
      <c r="E367" s="32" t="n"/>
      <c r="F367" s="32" t="n"/>
      <c r="G367" s="32" t="n"/>
      <c r="H367" s="32" t="n"/>
      <c r="I367" s="32" t="n"/>
      <c r="J367" s="28">
        <f>IF(COUNT(E367:I367)=0,"",INDEX($E$1:$I$1,MATCH(MIN(E367:I367),E367:I367,0)))</f>
        <v/>
      </c>
      <c r="K367" s="31" t="n"/>
    </row>
    <row r="368" ht="34" customHeight="1" s="17">
      <c r="A368" s="29" t="inlineStr">
        <is>
          <t>Lápices</t>
        </is>
      </c>
      <c r="B368" s="29" t="inlineStr">
        <is>
          <t>Papelería y oficina</t>
        </is>
      </c>
      <c r="C368" s="30" t="inlineStr">
        <is>
          <t>ud</t>
        </is>
      </c>
      <c r="D368" s="31" t="inlineStr">
        <is>
          <t>3 ud</t>
        </is>
      </c>
      <c r="E368" s="32" t="n"/>
      <c r="F368" s="32" t="n"/>
      <c r="G368" s="32" t="n"/>
      <c r="H368" s="32" t="n">
        <v>0.79</v>
      </c>
      <c r="I368" s="32" t="n"/>
      <c r="J368" s="28">
        <f>IF(COUNT(E368:I368)=0,"",IF(COUNT(E368:I368)=1,"Solo dato","Ver formatos"))</f>
        <v/>
      </c>
      <c r="K368" s="31" t="inlineStr">
        <is>
          <t>Fuentes y productos en notas de precios.</t>
        </is>
      </c>
    </row>
    <row r="369" ht="34" customHeight="1" s="17">
      <c r="A369" s="29" t="inlineStr">
        <is>
          <t>Mochila</t>
        </is>
      </c>
      <c r="B369" s="29" t="inlineStr">
        <is>
          <t>Papelería y oficina</t>
        </is>
      </c>
      <c r="C369" s="30" t="inlineStr">
        <is>
          <t>ud</t>
        </is>
      </c>
      <c r="D369" s="31" t="inlineStr">
        <is>
          <t>Envase/pieza publicado; ver nota</t>
        </is>
      </c>
      <c r="E369" s="32" t="n"/>
      <c r="F369" s="32" t="n">
        <v>14.99</v>
      </c>
      <c r="G369" s="32" t="n"/>
      <c r="H369" s="32" t="n"/>
      <c r="I369" s="32" t="n"/>
      <c r="J369" s="28">
        <f>IF(COUNT(E369:I369)=0,"",IF(COUNT(E369:I369)=1,"Solo dato","Ver formatos"))</f>
        <v/>
      </c>
      <c r="K369" s="31" t="inlineStr">
        <is>
          <t>Fuentes y productos en notas de precios.</t>
        </is>
      </c>
    </row>
    <row r="370" ht="34" customHeight="1" s="17">
      <c r="A370" s="29" t="inlineStr">
        <is>
          <t>Pegamento de barra</t>
        </is>
      </c>
      <c r="B370" s="29" t="inlineStr">
        <is>
          <t>Papelería y oficina</t>
        </is>
      </c>
      <c r="C370" s="30" t="inlineStr">
        <is>
          <t>ud</t>
        </is>
      </c>
      <c r="D370" s="31" t="inlineStr">
        <is>
          <t>Envase/pieza publicado; ver nota</t>
        </is>
      </c>
      <c r="E370" s="32" t="n"/>
      <c r="F370" s="32" t="n"/>
      <c r="G370" s="32" t="n"/>
      <c r="H370" s="32" t="n">
        <v>3.39</v>
      </c>
      <c r="I370" s="32" t="n"/>
      <c r="J370" s="28">
        <f>IF(COUNT(E370:I370)=0,"",IF(COUNT(E370:I370)=1,"Solo dato","Ver formatos"))</f>
        <v/>
      </c>
      <c r="K370" s="31" t="inlineStr">
        <is>
          <t>Fuentes y productos en notas de precios.</t>
        </is>
      </c>
    </row>
    <row r="371" ht="15" customHeight="1" s="17">
      <c r="A371" s="29" t="inlineStr">
        <is>
          <t>Pinturas de colores</t>
        </is>
      </c>
      <c r="B371" s="29" t="inlineStr">
        <is>
          <t>Papelería y oficina</t>
        </is>
      </c>
      <c r="C371" s="30" t="inlineStr">
        <is>
          <t>ud</t>
        </is>
      </c>
      <c r="D371" s="31" t="n"/>
      <c r="E371" s="32" t="n"/>
      <c r="F371" s="32" t="n"/>
      <c r="G371" s="32" t="n"/>
      <c r="H371" s="32" t="n"/>
      <c r="I371" s="32" t="n"/>
      <c r="J371" s="28">
        <f>IF(COUNT(E371:I371)=0,"",INDEX($E$1:$I$1,MATCH(MIN(E371:I371),E371:I371,0)))</f>
        <v/>
      </c>
      <c r="K371" s="31" t="n"/>
    </row>
    <row r="372" ht="34" customHeight="1" s="17">
      <c r="A372" s="29" t="inlineStr">
        <is>
          <t>Plastilina</t>
        </is>
      </c>
      <c r="B372" s="29" t="inlineStr">
        <is>
          <t>Papelería y oficina</t>
        </is>
      </c>
      <c r="C372" s="30" t="inlineStr">
        <is>
          <t>ud</t>
        </is>
      </c>
      <c r="D372" s="31" t="inlineStr">
        <is>
          <t>Envase/pieza publicado; ver nota</t>
        </is>
      </c>
      <c r="E372" s="32" t="n"/>
      <c r="F372" s="32" t="n">
        <v>12.99</v>
      </c>
      <c r="G372" s="32" t="n"/>
      <c r="H372" s="32" t="n"/>
      <c r="I372" s="32" t="n"/>
      <c r="J372" s="28">
        <f>IF(COUNT(E372:I372)=0,"",IF(COUNT(E372:I372)=1,"Solo dato","Ver formatos"))</f>
        <v/>
      </c>
      <c r="K372" s="31" t="inlineStr">
        <is>
          <t>Fuentes y productos en notas de precios.</t>
        </is>
      </c>
    </row>
    <row r="373" ht="15" customHeight="1" s="17">
      <c r="A373" s="29" t="inlineStr">
        <is>
          <t>Post-it</t>
        </is>
      </c>
      <c r="B373" s="29" t="inlineStr">
        <is>
          <t>Papelería y oficina</t>
        </is>
      </c>
      <c r="C373" s="30" t="inlineStr">
        <is>
          <t>ud</t>
        </is>
      </c>
      <c r="D373" s="31" t="n"/>
      <c r="E373" s="32" t="n"/>
      <c r="F373" s="32" t="n"/>
      <c r="G373" s="32" t="n"/>
      <c r="H373" s="32" t="n"/>
      <c r="I373" s="32" t="n"/>
      <c r="J373" s="28">
        <f>IF(COUNT(E373:I373)=0,"",INDEX($E$1:$I$1,MATCH(MIN(E373:I373),E373:I373,0)))</f>
        <v/>
      </c>
      <c r="K373" s="31" t="n"/>
    </row>
    <row r="374" ht="34" customHeight="1" s="17">
      <c r="A374" s="29" t="inlineStr">
        <is>
          <t>Rotuladores</t>
        </is>
      </c>
      <c r="B374" s="29" t="inlineStr">
        <is>
          <t>Papelería y oficina</t>
        </is>
      </c>
      <c r="C374" s="30" t="inlineStr">
        <is>
          <t>ud</t>
        </is>
      </c>
      <c r="D374" s="31" t="inlineStr">
        <is>
          <t>Envase/pieza publicado; ver nota</t>
        </is>
      </c>
      <c r="E374" s="32" t="n"/>
      <c r="F374" s="32" t="n">
        <v>6.99</v>
      </c>
      <c r="G374" s="32" t="n"/>
      <c r="H374" s="32" t="n"/>
      <c r="I374" s="32" t="n"/>
      <c r="J374" s="28">
        <f>IF(COUNT(E374:I374)=0,"",IF(COUNT(E374:I374)=1,"Solo dato","Ver formatos"))</f>
        <v/>
      </c>
      <c r="K374" s="31" t="inlineStr">
        <is>
          <t>Fuentes y productos en notas de precios.</t>
        </is>
      </c>
    </row>
    <row r="375" ht="38" customHeight="1" s="17">
      <c r="A375" s="29" t="inlineStr">
        <is>
          <t>Sacapuntas</t>
        </is>
      </c>
      <c r="B375" s="29" t="inlineStr">
        <is>
          <t>Papelería y oficina</t>
        </is>
      </c>
      <c r="C375" s="30" t="inlineStr">
        <is>
          <t>ud</t>
        </is>
      </c>
      <c r="D375" s="31" t="inlineStr">
        <is>
          <t>C: Envase/pieza publicado; ver nota
Co: 1 U</t>
        </is>
      </c>
      <c r="E375" s="32" t="n"/>
      <c r="F375" s="32" t="n"/>
      <c r="G375" s="32" t="n"/>
      <c r="H375" s="32" t="n">
        <v>1.79</v>
      </c>
      <c r="I375" s="32" t="n">
        <v>2.55</v>
      </c>
      <c r="J375" s="28">
        <f>IF(COUNT(E375:I375)=0,"",IF(COUNT(E375:I375)=1,"Solo dato","Ver formatos"))</f>
        <v/>
      </c>
      <c r="K375" s="31" t="inlineStr">
        <is>
          <t>Fuentes y productos en notas de precios.</t>
        </is>
      </c>
    </row>
    <row r="376" ht="15" customHeight="1" s="17">
      <c r="A376" s="29" t="inlineStr">
        <is>
          <t>Sobres</t>
        </is>
      </c>
      <c r="B376" s="29" t="inlineStr">
        <is>
          <t>Papelería y oficina</t>
        </is>
      </c>
      <c r="C376" s="30" t="inlineStr">
        <is>
          <t>ud</t>
        </is>
      </c>
      <c r="D376" s="31" t="n"/>
      <c r="E376" s="32" t="n"/>
      <c r="F376" s="32" t="n"/>
      <c r="G376" s="32" t="n"/>
      <c r="H376" s="32" t="n"/>
      <c r="I376" s="32" t="n"/>
      <c r="J376" s="28">
        <f>IF(COUNT(E376:I376)=0,"",INDEX($E$1:$I$1,MATCH(MIN(E376:I376),E376:I376,0)))</f>
        <v/>
      </c>
      <c r="K376" s="31" t="n"/>
    </row>
    <row r="377" ht="34" customHeight="1" s="17">
      <c r="A377" s="29" t="inlineStr">
        <is>
          <t>Tijeras</t>
        </is>
      </c>
      <c r="B377" s="29" t="inlineStr">
        <is>
          <t>Papelería y oficina</t>
        </is>
      </c>
      <c r="C377" s="30" t="inlineStr">
        <is>
          <t>ud</t>
        </is>
      </c>
      <c r="D377" s="31" t="inlineStr">
        <is>
          <t>Envase/pieza publicado; ver nota</t>
        </is>
      </c>
      <c r="E377" s="32" t="n"/>
      <c r="F377" s="32" t="n">
        <v>5.99</v>
      </c>
      <c r="G377" s="32" t="n"/>
      <c r="H377" s="32" t="n"/>
      <c r="I377" s="32" t="n"/>
      <c r="J377" s="28">
        <f>IF(COUNT(E377:I377)=0,"",IF(COUNT(E377:I377)=1,"Solo dato","Ver formatos"))</f>
        <v/>
      </c>
      <c r="K377" s="31" t="inlineStr">
        <is>
          <t>Fuentes y productos en notas de precios.</t>
        </is>
      </c>
    </row>
    <row r="378" ht="34" customHeight="1" s="17">
      <c r="A378" s="29" t="inlineStr">
        <is>
          <t>Abrigo</t>
        </is>
      </c>
      <c r="B378" s="29" t="inlineStr">
        <is>
          <t>Ropa y calzado</t>
        </is>
      </c>
      <c r="C378" s="30" t="inlineStr">
        <is>
          <t>ud</t>
        </is>
      </c>
      <c r="D378" s="31" t="inlineStr">
        <is>
          <t>Envase/pieza publicado; ver nota</t>
        </is>
      </c>
      <c r="E378" s="32" t="n"/>
      <c r="F378" s="32" t="n">
        <v>14.99</v>
      </c>
      <c r="G378" s="32" t="n"/>
      <c r="H378" s="32" t="n"/>
      <c r="I378" s="32" t="n"/>
      <c r="J378" s="28">
        <f>IF(COUNT(E378:I378)=0,"",IF(COUNT(E378:I378)=1,"Solo dato","Ver formatos"))</f>
        <v/>
      </c>
      <c r="K378" s="31" t="inlineStr">
        <is>
          <t>Fuentes y productos en notas de precios.</t>
        </is>
      </c>
    </row>
    <row r="379" ht="34" customHeight="1" s="17">
      <c r="A379" s="29" t="inlineStr">
        <is>
          <t>Bañador</t>
        </is>
      </c>
      <c r="B379" s="29" t="inlineStr">
        <is>
          <t>Ropa y calzado</t>
        </is>
      </c>
      <c r="C379" s="30" t="inlineStr">
        <is>
          <t>ud</t>
        </is>
      </c>
      <c r="D379" s="31" t="inlineStr">
        <is>
          <t>Envase/pieza publicado; ver nota</t>
        </is>
      </c>
      <c r="E379" s="32" t="n"/>
      <c r="F379" s="32" t="n">
        <v>4.49</v>
      </c>
      <c r="G379" s="32" t="n"/>
      <c r="H379" s="32" t="n"/>
      <c r="I379" s="32" t="n"/>
      <c r="J379" s="28">
        <f>IF(COUNT(E379:I379)=0,"",IF(COUNT(E379:I379)=1,"Solo dato","Ver formatos"))</f>
        <v/>
      </c>
      <c r="K379" s="31" t="inlineStr">
        <is>
          <t>Fuentes y productos en notas de precios.</t>
        </is>
      </c>
    </row>
    <row r="380" ht="34" customHeight="1" s="17">
      <c r="A380" s="29" t="inlineStr">
        <is>
          <t>Betún</t>
        </is>
      </c>
      <c r="B380" s="29" t="inlineStr">
        <is>
          <t>Ropa y calzado</t>
        </is>
      </c>
      <c r="C380" s="30" t="inlineStr">
        <is>
          <t>ud</t>
        </is>
      </c>
      <c r="D380" s="31" t="inlineStr">
        <is>
          <t>40 ml</t>
        </is>
      </c>
      <c r="E380" s="32" t="n"/>
      <c r="F380" s="32" t="n"/>
      <c r="G380" s="32" t="n"/>
      <c r="H380" s="32" t="n"/>
      <c r="I380" s="32" t="n">
        <v>3.59</v>
      </c>
      <c r="J380" s="28">
        <f>IF(COUNT(E380:I380)=0,"",IF(COUNT(E380:I380)=1,"Solo dato","Ver formatos"))</f>
        <v/>
      </c>
      <c r="K380" s="31" t="inlineStr">
        <is>
          <t>Fuentes y productos en notas de precios.</t>
        </is>
      </c>
    </row>
    <row r="381" ht="34" customHeight="1" s="17">
      <c r="A381" s="29" t="inlineStr">
        <is>
          <t>Botas</t>
        </is>
      </c>
      <c r="B381" s="29" t="inlineStr">
        <is>
          <t>Ropa y calzado</t>
        </is>
      </c>
      <c r="C381" s="30" t="inlineStr">
        <is>
          <t>ud</t>
        </is>
      </c>
      <c r="D381" s="31" t="inlineStr">
        <is>
          <t>Envase/pieza publicado; ver nota</t>
        </is>
      </c>
      <c r="E381" s="32" t="n"/>
      <c r="F381" s="32" t="n">
        <v>11.99</v>
      </c>
      <c r="G381" s="32" t="n"/>
      <c r="H381" s="32" t="n"/>
      <c r="I381" s="32" t="n"/>
      <c r="J381" s="28">
        <f>IF(COUNT(E381:I381)=0,"",IF(COUNT(E381:I381)=1,"Solo dato","Ver formatos"))</f>
        <v/>
      </c>
      <c r="K381" s="31" t="inlineStr">
        <is>
          <t>Fuentes y productos en notas de precios.</t>
        </is>
      </c>
    </row>
    <row r="382" ht="15" customHeight="1" s="17">
      <c r="A382" s="29" t="inlineStr">
        <is>
          <t>Bufanda</t>
        </is>
      </c>
      <c r="B382" s="29" t="inlineStr">
        <is>
          <t>Ropa y calzado</t>
        </is>
      </c>
      <c r="C382" s="30" t="inlineStr">
        <is>
          <t>ud</t>
        </is>
      </c>
      <c r="D382" s="31" t="n"/>
      <c r="E382" s="32" t="n"/>
      <c r="F382" s="32" t="n"/>
      <c r="G382" s="32" t="n"/>
      <c r="H382" s="32" t="n"/>
      <c r="I382" s="32" t="n"/>
      <c r="J382" s="28">
        <f>IF(COUNT(E382:I382)=0,"",INDEX($E$1:$I$1,MATCH(MIN(E382:I382),E382:I382,0)))</f>
        <v/>
      </c>
      <c r="K382" s="31" t="n"/>
    </row>
    <row r="383" ht="34" customHeight="1" s="17">
      <c r="A383" s="29" t="inlineStr">
        <is>
          <t>Calcetines</t>
        </is>
      </c>
      <c r="B383" s="29" t="inlineStr">
        <is>
          <t>Ropa y calzado</t>
        </is>
      </c>
      <c r="C383" s="30" t="inlineStr">
        <is>
          <t>ud</t>
        </is>
      </c>
      <c r="D383" s="31" t="inlineStr">
        <is>
          <t>7 pares</t>
        </is>
      </c>
      <c r="E383" s="32" t="n"/>
      <c r="F383" s="32" t="n">
        <v>5.99</v>
      </c>
      <c r="G383" s="32" t="n"/>
      <c r="H383" s="32" t="n"/>
      <c r="I383" s="32" t="n"/>
      <c r="J383" s="28">
        <f>IF(COUNT(E383:I383)=0,"",IF(COUNT(E383:I383)=1,"Solo dato","Ver formatos"))</f>
        <v/>
      </c>
      <c r="K383" s="31" t="inlineStr">
        <is>
          <t>Fuentes y productos en notas de precios.</t>
        </is>
      </c>
    </row>
    <row r="384" ht="34" customHeight="1" s="17">
      <c r="A384" s="29" t="inlineStr">
        <is>
          <t>Camisetas</t>
        </is>
      </c>
      <c r="B384" s="29" t="inlineStr">
        <is>
          <t>Ropa y calzado</t>
        </is>
      </c>
      <c r="C384" s="30" t="inlineStr">
        <is>
          <t>ud</t>
        </is>
      </c>
      <c r="D384" s="31" t="inlineStr">
        <is>
          <t>Envase/pieza publicado; ver nota</t>
        </is>
      </c>
      <c r="E384" s="32" t="n"/>
      <c r="F384" s="32" t="n">
        <v>3.99</v>
      </c>
      <c r="G384" s="32" t="n"/>
      <c r="H384" s="32" t="n"/>
      <c r="I384" s="32" t="n"/>
      <c r="J384" s="28">
        <f>IF(COUNT(E384:I384)=0,"",IF(COUNT(E384:I384)=1,"Solo dato","Ver formatos"))</f>
        <v/>
      </c>
      <c r="K384" s="31" t="inlineStr">
        <is>
          <t>Fuentes y productos en notas de precios.</t>
        </is>
      </c>
    </row>
    <row r="385" ht="34" customHeight="1" s="17">
      <c r="A385" s="29" t="inlineStr">
        <is>
          <t>Chubasquero</t>
        </is>
      </c>
      <c r="B385" s="29" t="inlineStr">
        <is>
          <t>Ropa y calzado</t>
        </is>
      </c>
      <c r="C385" s="30" t="inlineStr">
        <is>
          <t>ud</t>
        </is>
      </c>
      <c r="D385" s="31" t="inlineStr">
        <is>
          <t>Envase/pieza publicado; ver nota</t>
        </is>
      </c>
      <c r="E385" s="32" t="n"/>
      <c r="F385" s="32" t="n">
        <v>18.99</v>
      </c>
      <c r="G385" s="32" t="n"/>
      <c r="H385" s="32" t="n"/>
      <c r="I385" s="32" t="n"/>
      <c r="J385" s="28">
        <f>IF(COUNT(E385:I385)=0,"",IF(COUNT(E385:I385)=1,"Solo dato","Ver formatos"))</f>
        <v/>
      </c>
      <c r="K385" s="31" t="inlineStr">
        <is>
          <t>Fuentes y productos en notas de precios.</t>
        </is>
      </c>
    </row>
    <row r="386" ht="34" customHeight="1" s="17">
      <c r="A386" s="29" t="inlineStr">
        <is>
          <t>Chándal</t>
        </is>
      </c>
      <c r="B386" s="29" t="inlineStr">
        <is>
          <t>Ropa y calzado</t>
        </is>
      </c>
      <c r="C386" s="30" t="inlineStr">
        <is>
          <t>ud</t>
        </is>
      </c>
      <c r="D386" s="31" t="inlineStr">
        <is>
          <t>Envase/pieza publicado; ver nota</t>
        </is>
      </c>
      <c r="E386" s="32" t="n"/>
      <c r="F386" s="32" t="n">
        <v>11.99</v>
      </c>
      <c r="G386" s="32" t="n"/>
      <c r="H386" s="32" t="n"/>
      <c r="I386" s="32" t="n"/>
      <c r="J386" s="28">
        <f>IF(COUNT(E386:I386)=0,"",IF(COUNT(E386:I386)=1,"Solo dato","Ver formatos"))</f>
        <v/>
      </c>
      <c r="K386" s="31" t="inlineStr">
        <is>
          <t>Fuentes y productos en notas de precios.</t>
        </is>
      </c>
    </row>
    <row r="387" ht="15" customHeight="1" s="17">
      <c r="A387" s="29" t="inlineStr">
        <is>
          <t>Cordones</t>
        </is>
      </c>
      <c r="B387" s="29" t="inlineStr">
        <is>
          <t>Ropa y calzado</t>
        </is>
      </c>
      <c r="C387" s="30" t="inlineStr">
        <is>
          <t>ud</t>
        </is>
      </c>
      <c r="D387" s="31" t="n"/>
      <c r="E387" s="32" t="n"/>
      <c r="F387" s="32" t="n"/>
      <c r="G387" s="32" t="n"/>
      <c r="H387" s="32" t="n"/>
      <c r="I387" s="32" t="n"/>
      <c r="J387" s="28">
        <f>IF(COUNT(E387:I387)=0,"",INDEX($E$1:$I$1,MATCH(MIN(E387:I387),E387:I387,0)))</f>
        <v/>
      </c>
      <c r="K387" s="31" t="n"/>
    </row>
    <row r="388" ht="34" customHeight="1" s="17">
      <c r="A388" s="29" t="inlineStr">
        <is>
          <t>Gorro</t>
        </is>
      </c>
      <c r="B388" s="29" t="inlineStr">
        <is>
          <t>Ropa y calzado</t>
        </is>
      </c>
      <c r="C388" s="30" t="inlineStr">
        <is>
          <t>ud</t>
        </is>
      </c>
      <c r="D388" s="31" t="inlineStr">
        <is>
          <t>Envase/pieza publicado; ver nota</t>
        </is>
      </c>
      <c r="E388" s="32" t="n"/>
      <c r="F388" s="32" t="n">
        <v>2.49</v>
      </c>
      <c r="G388" s="32" t="n"/>
      <c r="H388" s="32" t="n"/>
      <c r="I388" s="32" t="n"/>
      <c r="J388" s="28">
        <f>IF(COUNT(E388:I388)=0,"",IF(COUNT(E388:I388)=1,"Solo dato","Ver formatos"))</f>
        <v/>
      </c>
      <c r="K388" s="31" t="inlineStr">
        <is>
          <t>Fuentes y productos en notas de precios.</t>
        </is>
      </c>
    </row>
    <row r="389" ht="34" customHeight="1" s="17">
      <c r="A389" s="29" t="inlineStr">
        <is>
          <t>Guantes</t>
        </is>
      </c>
      <c r="B389" s="29" t="inlineStr">
        <is>
          <t>Ropa y calzado</t>
        </is>
      </c>
      <c r="C389" s="30" t="inlineStr">
        <is>
          <t>ud</t>
        </is>
      </c>
      <c r="D389" s="31" t="inlineStr">
        <is>
          <t>Envase/pieza publicado; ver nota</t>
        </is>
      </c>
      <c r="E389" s="32" t="n"/>
      <c r="F389" s="32" t="n">
        <v>1.89</v>
      </c>
      <c r="G389" s="32" t="n"/>
      <c r="H389" s="32" t="n"/>
      <c r="I389" s="32" t="n"/>
      <c r="J389" s="28">
        <f>IF(COUNT(E389:I389)=0,"",IF(COUNT(E389:I389)=1,"Solo dato","Ver formatos"))</f>
        <v/>
      </c>
      <c r="K389" s="31" t="inlineStr">
        <is>
          <t>Fuentes y productos en notas de precios.</t>
        </is>
      </c>
    </row>
    <row r="390" ht="34" customHeight="1" s="17">
      <c r="A390" s="29" t="inlineStr">
        <is>
          <t>Pantalones</t>
        </is>
      </c>
      <c r="B390" s="29" t="inlineStr">
        <is>
          <t>Ropa y calzado</t>
        </is>
      </c>
      <c r="C390" s="30" t="inlineStr">
        <is>
          <t>ud</t>
        </is>
      </c>
      <c r="D390" s="31" t="inlineStr">
        <is>
          <t>Envase/pieza publicado; ver nota</t>
        </is>
      </c>
      <c r="E390" s="32" t="n"/>
      <c r="F390" s="32" t="n">
        <v>9.99</v>
      </c>
      <c r="G390" s="32" t="n"/>
      <c r="H390" s="32" t="n"/>
      <c r="I390" s="32" t="n"/>
      <c r="J390" s="28">
        <f>IF(COUNT(E390:I390)=0,"",IF(COUNT(E390:I390)=1,"Solo dato","Ver formatos"))</f>
        <v/>
      </c>
      <c r="K390" s="31" t="inlineStr">
        <is>
          <t>Fuentes y productos en notas de precios.</t>
        </is>
      </c>
    </row>
    <row r="391" ht="34" customHeight="1" s="17">
      <c r="A391" s="29" t="inlineStr">
        <is>
          <t>Pijama</t>
        </is>
      </c>
      <c r="B391" s="29" t="inlineStr">
        <is>
          <t>Ropa y calzado</t>
        </is>
      </c>
      <c r="C391" s="30" t="inlineStr">
        <is>
          <t>ud</t>
        </is>
      </c>
      <c r="D391" s="31" t="inlineStr">
        <is>
          <t>Envase/pieza publicado; ver nota</t>
        </is>
      </c>
      <c r="E391" s="32" t="n"/>
      <c r="F391" s="32" t="n">
        <v>7.99</v>
      </c>
      <c r="G391" s="32" t="n"/>
      <c r="H391" s="32" t="n"/>
      <c r="I391" s="32" t="n"/>
      <c r="J391" s="28">
        <f>IF(COUNT(E391:I391)=0,"",IF(COUNT(E391:I391)=1,"Solo dato","Ver formatos"))</f>
        <v/>
      </c>
      <c r="K391" s="31" t="inlineStr">
        <is>
          <t>Fuentes y productos en notas de precios.</t>
        </is>
      </c>
    </row>
    <row r="392" ht="34" customHeight="1" s="17">
      <c r="A392" s="29" t="inlineStr">
        <is>
          <t>Ropa interior</t>
        </is>
      </c>
      <c r="B392" s="29" t="inlineStr">
        <is>
          <t>Ropa y calzado</t>
        </is>
      </c>
      <c r="C392" s="30" t="inlineStr">
        <is>
          <t>ud</t>
        </is>
      </c>
      <c r="D392" s="31" t="inlineStr">
        <is>
          <t>Envase/pieza publicado; ver nota</t>
        </is>
      </c>
      <c r="E392" s="32" t="n"/>
      <c r="F392" s="32" t="n">
        <v>7.49</v>
      </c>
      <c r="G392" s="32" t="n"/>
      <c r="H392" s="32" t="n"/>
      <c r="I392" s="32" t="n"/>
      <c r="J392" s="28">
        <f>IF(COUNT(E392:I392)=0,"",IF(COUNT(E392:I392)=1,"Solo dato","Ver formatos"))</f>
        <v/>
      </c>
      <c r="K392" s="31" t="inlineStr">
        <is>
          <t>Fuentes y productos en notas de precios.</t>
        </is>
      </c>
    </row>
    <row r="393" ht="34" customHeight="1" s="17">
      <c r="A393" s="29" t="inlineStr">
        <is>
          <t>Sandalias</t>
        </is>
      </c>
      <c r="B393" s="29" t="inlineStr">
        <is>
          <t>Ropa y calzado</t>
        </is>
      </c>
      <c r="C393" s="30" t="inlineStr">
        <is>
          <t>ud</t>
        </is>
      </c>
      <c r="D393" s="31" t="inlineStr">
        <is>
          <t>Envase/pieza publicado; ver nota</t>
        </is>
      </c>
      <c r="E393" s="32" t="n"/>
      <c r="F393" s="32" t="n">
        <v>12.99</v>
      </c>
      <c r="G393" s="32" t="n"/>
      <c r="H393" s="32" t="n"/>
      <c r="I393" s="32" t="n"/>
      <c r="J393" s="28">
        <f>IF(COUNT(E393:I393)=0,"",IF(COUNT(E393:I393)=1,"Solo dato","Ver formatos"))</f>
        <v/>
      </c>
      <c r="K393" s="31" t="inlineStr">
        <is>
          <t>Fuentes y productos en notas de precios.</t>
        </is>
      </c>
    </row>
    <row r="394" ht="34" customHeight="1" s="17">
      <c r="A394" s="29" t="inlineStr">
        <is>
          <t>Sudadera</t>
        </is>
      </c>
      <c r="B394" s="29" t="inlineStr">
        <is>
          <t>Ropa y calzado</t>
        </is>
      </c>
      <c r="C394" s="30" t="inlineStr">
        <is>
          <t>ud</t>
        </is>
      </c>
      <c r="D394" s="31" t="inlineStr">
        <is>
          <t>Envase/pieza publicado; ver nota</t>
        </is>
      </c>
      <c r="E394" s="32" t="n"/>
      <c r="F394" s="32" t="n">
        <v>6.99</v>
      </c>
      <c r="G394" s="32" t="n"/>
      <c r="H394" s="32" t="n"/>
      <c r="I394" s="32" t="n"/>
      <c r="J394" s="28">
        <f>IF(COUNT(E394:I394)=0,"",IF(COUNT(E394:I394)=1,"Solo dato","Ver formatos"))</f>
        <v/>
      </c>
      <c r="K394" s="31" t="inlineStr">
        <is>
          <t>Fuentes y productos en notas de precios.</t>
        </is>
      </c>
    </row>
    <row r="395" ht="34" customHeight="1" s="17">
      <c r="A395" s="29" t="inlineStr">
        <is>
          <t>Zapatillas</t>
        </is>
      </c>
      <c r="B395" s="29" t="inlineStr">
        <is>
          <t>Ropa y calzado</t>
        </is>
      </c>
      <c r="C395" s="30" t="inlineStr">
        <is>
          <t>ud</t>
        </is>
      </c>
      <c r="D395" s="31" t="inlineStr">
        <is>
          <t>Envase/pieza publicado; ver nota</t>
        </is>
      </c>
      <c r="E395" s="32" t="n"/>
      <c r="F395" s="32" t="n">
        <v>11.99</v>
      </c>
      <c r="G395" s="32" t="n"/>
      <c r="H395" s="32" t="n"/>
      <c r="I395" s="32" t="n"/>
      <c r="J395" s="28">
        <f>IF(COUNT(E395:I395)=0,"",IF(COUNT(E395:I395)=1,"Solo dato","Ver formatos"))</f>
        <v/>
      </c>
      <c r="K395" s="31" t="inlineStr">
        <is>
          <t>Fuentes y productos en notas de precios.</t>
        </is>
      </c>
    </row>
    <row r="396" ht="34" customHeight="1" s="17">
      <c r="A396" s="29" t="inlineStr">
        <is>
          <t>Zapatillas de casa</t>
        </is>
      </c>
      <c r="B396" s="29" t="inlineStr">
        <is>
          <t>Ropa y calzado</t>
        </is>
      </c>
      <c r="C396" s="30" t="inlineStr">
        <is>
          <t>ud</t>
        </is>
      </c>
      <c r="D396" s="31" t="inlineStr">
        <is>
          <t>Envase/pieza publicado; ver nota</t>
        </is>
      </c>
      <c r="E396" s="32" t="n"/>
      <c r="F396" s="32" t="n">
        <v>3.99</v>
      </c>
      <c r="G396" s="32" t="n"/>
      <c r="H396" s="32" t="n"/>
      <c r="I396" s="32" t="n"/>
      <c r="J396" s="28">
        <f>IF(COUNT(E396:I396)=0,"",IF(COUNT(E396:I396)=1,"Solo dato","Ver formatos"))</f>
        <v/>
      </c>
      <c r="K396" s="31" t="inlineStr">
        <is>
          <t>Fuentes y productos en notas de precios.</t>
        </is>
      </c>
    </row>
    <row r="397" ht="34" customHeight="1" s="17">
      <c r="A397" s="29" t="inlineStr">
        <is>
          <t>Zapatos</t>
        </is>
      </c>
      <c r="B397" s="29" t="inlineStr">
        <is>
          <t>Ropa y calzado</t>
        </is>
      </c>
      <c r="C397" s="30" t="inlineStr">
        <is>
          <t>ud</t>
        </is>
      </c>
      <c r="D397" s="31" t="inlineStr">
        <is>
          <t>Envase/pieza publicado; ver nota</t>
        </is>
      </c>
      <c r="E397" s="32" t="n"/>
      <c r="F397" s="32" t="n">
        <v>6.99</v>
      </c>
      <c r="G397" s="32" t="n"/>
      <c r="H397" s="32" t="n"/>
      <c r="I397" s="32" t="n"/>
      <c r="J397" s="28">
        <f>IF(COUNT(E397:I397)=0,"",IF(COUNT(E397:I397)=1,"Solo dato","Ver formatos"))</f>
        <v/>
      </c>
      <c r="K397" s="31" t="inlineStr">
        <is>
          <t>Fuentes y productos en notas de precios.</t>
        </is>
      </c>
    </row>
    <row r="398" ht="34" customHeight="1" s="17">
      <c r="A398" s="29" t="inlineStr">
        <is>
          <t>Auriculares</t>
        </is>
      </c>
      <c r="B398" s="29" t="inlineStr">
        <is>
          <t>Electrónica</t>
        </is>
      </c>
      <c r="C398" s="30" t="inlineStr">
        <is>
          <t>ud</t>
        </is>
      </c>
      <c r="D398" s="31" t="inlineStr">
        <is>
          <t>Envase/pieza publicado; ver nota</t>
        </is>
      </c>
      <c r="E398" s="32" t="n"/>
      <c r="F398" s="32" t="n">
        <v>8.99</v>
      </c>
      <c r="G398" s="32" t="n"/>
      <c r="H398" s="32" t="n"/>
      <c r="I398" s="32" t="n"/>
      <c r="J398" s="28">
        <f>IF(COUNT(E398:I398)=0,"",IF(COUNT(E398:I398)=1,"Solo dato","Ver formatos"))</f>
        <v/>
      </c>
      <c r="K398" s="31" t="inlineStr">
        <is>
          <t>Fuentes y productos en notas de precios.</t>
        </is>
      </c>
    </row>
    <row r="399" ht="15" customHeight="1" s="17">
      <c r="A399" s="29" t="inlineStr">
        <is>
          <t>Bombilla inteligente</t>
        </is>
      </c>
      <c r="B399" s="29" t="inlineStr">
        <is>
          <t>Electrónica</t>
        </is>
      </c>
      <c r="C399" s="30" t="inlineStr">
        <is>
          <t>ud</t>
        </is>
      </c>
      <c r="D399" s="31" t="n"/>
      <c r="E399" s="32" t="n"/>
      <c r="F399" s="32" t="n"/>
      <c r="G399" s="32" t="n"/>
      <c r="H399" s="32" t="n"/>
      <c r="I399" s="32" t="n"/>
      <c r="J399" s="28">
        <f>IF(COUNT(E399:I399)=0,"",INDEX($E$1:$I$1,MATCH(MIN(E399:I399),E399:I399,0)))</f>
        <v/>
      </c>
      <c r="K399" s="31" t="n"/>
    </row>
    <row r="400" ht="15" customHeight="1" s="17">
      <c r="A400" s="29" t="inlineStr">
        <is>
          <t>Cable USB</t>
        </is>
      </c>
      <c r="B400" s="29" t="inlineStr">
        <is>
          <t>Electrónica</t>
        </is>
      </c>
      <c r="C400" s="30" t="inlineStr">
        <is>
          <t>ud</t>
        </is>
      </c>
      <c r="D400" s="31" t="n"/>
      <c r="E400" s="32" t="n"/>
      <c r="F400" s="32" t="n"/>
      <c r="G400" s="32" t="n"/>
      <c r="H400" s="32" t="n"/>
      <c r="I400" s="32" t="n"/>
      <c r="J400" s="28">
        <f>IF(COUNT(E400:I400)=0,"",INDEX($E$1:$I$1,MATCH(MIN(E400:I400),E400:I400,0)))</f>
        <v/>
      </c>
      <c r="K400" s="31" t="n"/>
    </row>
    <row r="401" ht="15" customHeight="1" s="17">
      <c r="A401" s="29" t="inlineStr">
        <is>
          <t>Cargador móvil</t>
        </is>
      </c>
      <c r="B401" s="29" t="inlineStr">
        <is>
          <t>Electrónica</t>
        </is>
      </c>
      <c r="C401" s="30" t="inlineStr">
        <is>
          <t>ud</t>
        </is>
      </c>
      <c r="D401" s="31" t="n"/>
      <c r="E401" s="32" t="n"/>
      <c r="F401" s="32" t="n"/>
      <c r="G401" s="32" t="n"/>
      <c r="H401" s="32" t="n"/>
      <c r="I401" s="32" t="n"/>
      <c r="J401" s="28">
        <f>IF(COUNT(E401:I401)=0,"",INDEX($E$1:$I$1,MATCH(MIN(E401:I401),E401:I401,0)))</f>
        <v/>
      </c>
      <c r="K401" s="31" t="n"/>
    </row>
    <row r="402" ht="15" customHeight="1" s="17">
      <c r="A402" s="29" t="inlineStr">
        <is>
          <t>Funda móvil</t>
        </is>
      </c>
      <c r="B402" s="29" t="inlineStr">
        <is>
          <t>Electrónica</t>
        </is>
      </c>
      <c r="C402" s="30" t="inlineStr">
        <is>
          <t>ud</t>
        </is>
      </c>
      <c r="D402" s="31" t="n"/>
      <c r="E402" s="32" t="n"/>
      <c r="F402" s="32" t="n"/>
      <c r="G402" s="32" t="n"/>
      <c r="H402" s="32" t="n"/>
      <c r="I402" s="32" t="n"/>
      <c r="J402" s="28">
        <f>IF(COUNT(E402:I402)=0,"",INDEX($E$1:$I$1,MATCH(MIN(E402:I402),E402:I402,0)))</f>
        <v/>
      </c>
      <c r="K402" s="31" t="n"/>
    </row>
    <row r="403" ht="15" customHeight="1" s="17">
      <c r="A403" s="29" t="inlineStr">
        <is>
          <t>Mando a distancia</t>
        </is>
      </c>
      <c r="B403" s="29" t="inlineStr">
        <is>
          <t>Electrónica</t>
        </is>
      </c>
      <c r="C403" s="30" t="inlineStr">
        <is>
          <t>ud</t>
        </is>
      </c>
      <c r="D403" s="31" t="n"/>
      <c r="E403" s="32" t="n"/>
      <c r="F403" s="32" t="n"/>
      <c r="G403" s="32" t="n"/>
      <c r="H403" s="32" t="n"/>
      <c r="I403" s="32" t="n"/>
      <c r="J403" s="28">
        <f>IF(COUNT(E403:I403)=0,"",INDEX($E$1:$I$1,MATCH(MIN(E403:I403),E403:I403,0)))</f>
        <v/>
      </c>
      <c r="K403" s="31" t="n"/>
    </row>
    <row r="404" ht="34" customHeight="1" s="17">
      <c r="A404" s="29" t="inlineStr">
        <is>
          <t>Pendrive</t>
        </is>
      </c>
      <c r="B404" s="29" t="inlineStr">
        <is>
          <t>Electrónica</t>
        </is>
      </c>
      <c r="C404" s="30" t="inlineStr">
        <is>
          <t>ud</t>
        </is>
      </c>
      <c r="D404" s="31" t="inlineStr">
        <is>
          <t>Envase/pieza publicado; ver nota</t>
        </is>
      </c>
      <c r="E404" s="32" t="n"/>
      <c r="F404" s="32" t="n">
        <v>24.99</v>
      </c>
      <c r="G404" s="32" t="n"/>
      <c r="H404" s="32" t="n"/>
      <c r="I404" s="32" t="n"/>
      <c r="J404" s="28">
        <f>IF(COUNT(E404:I404)=0,"",IF(COUNT(E404:I404)=1,"Solo dato","Ver formatos"))</f>
        <v/>
      </c>
      <c r="K404" s="31" t="inlineStr">
        <is>
          <t>Fuentes y productos en notas de precios. Agotado online.</t>
        </is>
      </c>
    </row>
    <row r="405" ht="38" customHeight="1" s="17">
      <c r="A405" s="29" t="inlineStr">
        <is>
          <t>Pilas recargables</t>
        </is>
      </c>
      <c r="B405" s="29" t="inlineStr">
        <is>
          <t>Electrónica</t>
        </is>
      </c>
      <c r="C405" s="30" t="inlineStr">
        <is>
          <t>ud</t>
        </is>
      </c>
      <c r="D405" s="31" t="inlineStr">
        <is>
          <t>Co: 4 x 1 U
L: Envase/pieza publicado; ver nota</t>
        </is>
      </c>
      <c r="E405" s="32" t="n"/>
      <c r="F405" s="32" t="n">
        <v>3.99</v>
      </c>
      <c r="G405" s="32" t="n"/>
      <c r="H405" s="32" t="n"/>
      <c r="I405" s="32" t="n">
        <v>7.9</v>
      </c>
      <c r="J405" s="28">
        <f>IF(COUNT(E405:I405)=0,"",IF(COUNT(E405:I405)=1,"Solo dato","Ver formatos"))</f>
        <v/>
      </c>
      <c r="K405" s="31" t="inlineStr">
        <is>
          <t>Fuentes y productos en notas de precios.</t>
        </is>
      </c>
    </row>
    <row r="406" ht="34" customHeight="1" s="17">
      <c r="A406" s="29" t="inlineStr">
        <is>
          <t>Ratón</t>
        </is>
      </c>
      <c r="B406" s="29" t="inlineStr">
        <is>
          <t>Electrónica</t>
        </is>
      </c>
      <c r="C406" s="30" t="inlineStr">
        <is>
          <t>ud</t>
        </is>
      </c>
      <c r="D406" s="31" t="inlineStr">
        <is>
          <t>Envase/pieza publicado; ver nota</t>
        </is>
      </c>
      <c r="E406" s="32" t="n"/>
      <c r="F406" s="32" t="n">
        <v>3.99</v>
      </c>
      <c r="G406" s="32" t="n"/>
      <c r="H406" s="32" t="n"/>
      <c r="I406" s="32" t="n"/>
      <c r="J406" s="28">
        <f>IF(COUNT(E406:I406)=0,"",IF(COUNT(E406:I406)=1,"Solo dato","Ver formatos"))</f>
        <v/>
      </c>
      <c r="K406" s="31" t="inlineStr">
        <is>
          <t>Fuentes y productos en notas de precios.</t>
        </is>
      </c>
    </row>
    <row r="407" ht="15" customHeight="1" s="17">
      <c r="A407" s="29" t="inlineStr">
        <is>
          <t>Tarjeta de memoria</t>
        </is>
      </c>
      <c r="B407" s="29" t="inlineStr">
        <is>
          <t>Electrónica</t>
        </is>
      </c>
      <c r="C407" s="30" t="inlineStr">
        <is>
          <t>ud</t>
        </is>
      </c>
      <c r="D407" s="31" t="n"/>
      <c r="E407" s="32" t="n"/>
      <c r="F407" s="32" t="n"/>
      <c r="G407" s="32" t="n"/>
      <c r="H407" s="32" t="n"/>
      <c r="I407" s="32" t="n"/>
      <c r="J407" s="28">
        <f>IF(COUNT(E407:I407)=0,"",INDEX($E$1:$I$1,MATCH(MIN(E407:I407),E407:I407,0)))</f>
        <v/>
      </c>
      <c r="K407" s="31" t="n"/>
    </row>
    <row r="408" ht="15" customHeight="1" s="17">
      <c r="A408" s="29" t="inlineStr">
        <is>
          <t>Bolsa reutilizable</t>
        </is>
      </c>
      <c r="B408" s="29" t="inlineStr">
        <is>
          <t>Otros</t>
        </is>
      </c>
      <c r="C408" s="30" t="inlineStr">
        <is>
          <t>ud</t>
        </is>
      </c>
      <c r="D408" s="31" t="n"/>
      <c r="E408" s="32" t="n"/>
      <c r="F408" s="32" t="n"/>
      <c r="G408" s="32" t="n"/>
      <c r="H408" s="32" t="n"/>
      <c r="I408" s="32" t="n"/>
      <c r="J408" s="28">
        <f>IF(COUNT(E408:I408)=0,"",INDEX($E$1:$I$1,MATCH(MIN(E408:I408),E408:I408,0)))</f>
        <v/>
      </c>
      <c r="K408" s="31" t="n"/>
    </row>
    <row r="409" ht="34" customHeight="1" s="17">
      <c r="A409" s="29" t="inlineStr">
        <is>
          <t>Flores</t>
        </is>
      </c>
      <c r="B409" s="29" t="inlineStr">
        <is>
          <t>Otros</t>
        </is>
      </c>
      <c r="C409" s="30" t="inlineStr">
        <is>
          <t>ud</t>
        </is>
      </c>
      <c r="D409" s="31" t="inlineStr">
        <is>
          <t>1 ud</t>
        </is>
      </c>
      <c r="E409" s="32" t="n"/>
      <c r="F409" s="32" t="n"/>
      <c r="G409" s="32" t="n">
        <v>4.49</v>
      </c>
      <c r="H409" s="32" t="n"/>
      <c r="I409" s="32" t="n"/>
      <c r="J409" s="28">
        <f>IF(COUNT(E409:I409)=0,"",IF(COUNT(E409:I409)=1,"Solo dato","Ver formatos"))</f>
        <v/>
      </c>
      <c r="K409" s="31" t="inlineStr">
        <is>
          <t>Fuentes y productos en notas de precios. Incluye oferta.</t>
        </is>
      </c>
    </row>
    <row r="410" ht="15" customHeight="1" s="17">
      <c r="A410" s="29" t="inlineStr">
        <is>
          <t>Lotería</t>
        </is>
      </c>
      <c r="B410" s="29" t="inlineStr">
        <is>
          <t>Otros</t>
        </is>
      </c>
      <c r="C410" s="30" t="inlineStr">
        <is>
          <t>ud</t>
        </is>
      </c>
      <c r="D410" s="31" t="n"/>
      <c r="E410" s="32" t="n"/>
      <c r="F410" s="32" t="n"/>
      <c r="G410" s="32" t="n"/>
      <c r="H410" s="32" t="n"/>
      <c r="I410" s="32" t="n"/>
      <c r="J410" s="28">
        <f>IF(COUNT(E410:I410)=0,"",INDEX($E$1:$I$1,MATCH(MIN(E410:I410),E410:I410,0)))</f>
        <v/>
      </c>
      <c r="K410" s="31" t="n"/>
    </row>
    <row r="411" ht="15" customHeight="1" s="17">
      <c r="A411" s="29" t="inlineStr">
        <is>
          <t>Recambio</t>
        </is>
      </c>
      <c r="B411" s="29" t="inlineStr">
        <is>
          <t>Otros</t>
        </is>
      </c>
      <c r="C411" s="30" t="inlineStr">
        <is>
          <t>ud</t>
        </is>
      </c>
      <c r="D411" s="31" t="n"/>
      <c r="E411" s="32" t="n"/>
      <c r="F411" s="32" t="n"/>
      <c r="G411" s="32" t="n"/>
      <c r="H411" s="32" t="n"/>
      <c r="I411" s="32" t="n"/>
      <c r="J411" s="28">
        <f>IF(COUNT(E411:I411)=0,"",INDEX($E$1:$I$1,MATCH(MIN(E411:I411),E411:I411,0)))</f>
        <v/>
      </c>
      <c r="K411" s="31" t="n"/>
    </row>
    <row r="412" ht="15" customHeight="1" s="17">
      <c r="A412" s="29" t="inlineStr">
        <is>
          <t>Regalo</t>
        </is>
      </c>
      <c r="B412" s="29" t="inlineStr">
        <is>
          <t>Otros</t>
        </is>
      </c>
      <c r="C412" s="30" t="inlineStr">
        <is>
          <t>ud</t>
        </is>
      </c>
      <c r="D412" s="31" t="n"/>
      <c r="E412" s="32" t="n"/>
      <c r="F412" s="32" t="n"/>
      <c r="G412" s="32" t="n"/>
      <c r="H412" s="32" t="n"/>
      <c r="I412" s="32" t="n"/>
      <c r="J412" s="28">
        <f>IF(COUNT(E412:I412)=0,"",INDEX($E$1:$I$1,MATCH(MIN(E412:I412),E412:I412,0)))</f>
        <v/>
      </c>
      <c r="K412" s="31" t="n"/>
    </row>
  </sheetData>
  <dataValidations count="2">
    <dataValidation sqref="E2:I712" showDropDown="0" showInputMessage="0" showErrorMessage="0" allowBlank="1" errorTitle="Precio" error="Escribe un precio en euros (por ejemplo 1,35)." type="decimal" errorStyle="stop" operator="greaterThanOrEqual">
      <formula1>0</formula1>
      <formula2>0</formula2>
    </dataValidation>
    <dataValidation sqref="C2:C712" showDropDown="0" showInputMessage="0" showErrorMessage="0" allowBlank="1" type="list" errorStyle="stop" operator="between">
      <formula1>"ud,kg,l"</formula1>
      <formula2>0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7" min="1" max="1"/>
    <col width="14" customWidth="1" style="17" min="2" max="2"/>
    <col width="9" customWidth="1" style="17" min="3" max="3"/>
    <col width="10" customWidth="1" style="17" min="4" max="4"/>
    <col width="14" customWidth="1" style="17" min="5" max="5"/>
    <col width="48" customWidth="1" style="17" min="6" max="6"/>
    <col width="12" customWidth="1" style="17" min="7" max="7"/>
    <col width="12" customWidth="1" style="17" min="8" max="8"/>
    <col width="46" customWidth="1" style="17" min="9" max="9"/>
    <col width="30" customWidth="1" style="17" min="10" max="10"/>
  </cols>
  <sheetData>
    <row r="1">
      <c r="A1" s="33" t="inlineStr">
        <is>
          <t>Producto</t>
        </is>
      </c>
      <c r="B1" s="33" t="inlineStr">
        <is>
          <t>Súper</t>
        </is>
      </c>
      <c r="C1" s="33" t="inlineStr">
        <is>
          <t>Precio</t>
        </is>
      </c>
      <c r="D1" s="33" t="inlineStr">
        <is>
          <t>Precio por</t>
        </is>
      </c>
      <c r="E1" s="33" t="inlineStr">
        <is>
          <t>Formato</t>
        </is>
      </c>
      <c r="F1" s="33" t="inlineStr">
        <is>
          <t>Producto consultado</t>
        </is>
      </c>
      <c r="G1" s="33" t="inlineStr">
        <is>
          <t>Desde</t>
        </is>
      </c>
      <c r="H1" s="33" t="inlineStr">
        <is>
          <t>Hasta</t>
        </is>
      </c>
      <c r="I1" s="33" t="inlineStr">
        <is>
          <t>Nota</t>
        </is>
      </c>
      <c r="J1" s="33" t="inlineStr">
        <is>
          <t>URL</t>
        </is>
      </c>
    </row>
    <row r="2">
      <c r="A2" s="0" t="inlineStr">
        <is>
          <t>Alioli</t>
        </is>
      </c>
      <c r="B2" s="0" t="inlineStr">
        <is>
          <t>Family Cash</t>
        </is>
      </c>
      <c r="C2" s="0" t="n">
        <v>1.49</v>
      </c>
      <c r="D2" s="0" t="inlineStr">
        <is>
          <t>ud</t>
        </is>
      </c>
      <c r="E2" s="0" t="inlineStr"/>
      <c r="F2" s="0" t="inlineStr">
        <is>
          <t>Salsa Choví alioli (150-400 ml según variante)</t>
        </is>
      </c>
      <c r="G2" s="0" t="inlineStr">
        <is>
          <t>2026-09-07</t>
        </is>
      </c>
      <c r="H2" s="0" t="inlineStr">
        <is>
          <t>2026-09-27</t>
        </is>
      </c>
      <c r="I2" s="0" t="inlineStr">
        <is>
          <t>Precio de folleto (oferta del 7 al 27 sept), ya caducado; Formato según variante</t>
        </is>
      </c>
      <c r="J2" s="0" t="inlineStr">
        <is>
          <t>https://familycash.folle.to/images/familycash/familycash-weekly-ad.pdf</t>
        </is>
      </c>
    </row>
    <row r="3">
      <c r="A3" s="0" t="inlineStr">
        <is>
          <t>Mayonesa</t>
        </is>
      </c>
      <c r="B3" s="0" t="inlineStr">
        <is>
          <t>Family Cash</t>
        </is>
      </c>
      <c r="C3" s="0" t="n">
        <v>2.59</v>
      </c>
      <c r="D3" s="0" t="inlineStr">
        <is>
          <t>ud</t>
        </is>
      </c>
      <c r="E3" s="0" t="inlineStr">
        <is>
          <t>450 ml</t>
        </is>
      </c>
      <c r="F3" s="0" t="inlineStr">
        <is>
          <t>Mayonesa Hellmann's</t>
        </is>
      </c>
      <c r="G3" s="0" t="inlineStr">
        <is>
          <t>2026-09-07</t>
        </is>
      </c>
      <c r="H3" s="0" t="inlineStr">
        <is>
          <t>2026-09-27</t>
        </is>
      </c>
      <c r="I3" s="0" t="inlineStr">
        <is>
          <t>Precio de folleto (oferta del 7 al 27 sept), ya caducado</t>
        </is>
      </c>
      <c r="J3" s="0" t="inlineStr">
        <is>
          <t>https://familycash.folle.to/images/familycash/familycash-weekly-ad.pdf</t>
        </is>
      </c>
    </row>
    <row r="4">
      <c r="A4" s="0" t="inlineStr">
        <is>
          <t>Tomate frito</t>
        </is>
      </c>
      <c r="B4" s="0" t="inlineStr">
        <is>
          <t>Family Cash</t>
        </is>
      </c>
      <c r="C4" s="0" t="n">
        <v>0.39</v>
      </c>
      <c r="D4" s="0" t="inlineStr">
        <is>
          <t>ud</t>
        </is>
      </c>
      <c r="E4" s="0" t="inlineStr">
        <is>
          <t>390 g</t>
        </is>
      </c>
      <c r="F4" s="0" t="inlineStr">
        <is>
          <t>Tomate frito Didi</t>
        </is>
      </c>
      <c r="G4" s="0" t="inlineStr">
        <is>
          <t>2026-09-07</t>
        </is>
      </c>
      <c r="H4" s="0" t="inlineStr">
        <is>
          <t>2026-09-27</t>
        </is>
      </c>
      <c r="I4" s="0" t="inlineStr">
        <is>
          <t>Precio de folleto (oferta del 7 al 27 sept), ya caducado</t>
        </is>
      </c>
      <c r="J4" s="0" t="inlineStr">
        <is>
          <t>https://familycash.folle.to/images/familycash/familycash-weekly-ad.pdf</t>
        </is>
      </c>
    </row>
    <row r="5">
      <c r="A5" s="0" t="inlineStr">
        <is>
          <t>Tomate triturado</t>
        </is>
      </c>
      <c r="B5" s="0" t="inlineStr">
        <is>
          <t>Family Cash</t>
        </is>
      </c>
      <c r="C5" s="0" t="n">
        <v>0.49</v>
      </c>
      <c r="D5" s="0" t="inlineStr">
        <is>
          <t>ud</t>
        </is>
      </c>
      <c r="E5" s="0" t="inlineStr">
        <is>
          <t>400 g</t>
        </is>
      </c>
      <c r="F5" s="0" t="inlineStr">
        <is>
          <t>Tomate triturado Didi</t>
        </is>
      </c>
      <c r="G5" s="0" t="inlineStr">
        <is>
          <t>2026-09-07</t>
        </is>
      </c>
      <c r="H5" s="0" t="inlineStr">
        <is>
          <t>2026-09-27</t>
        </is>
      </c>
      <c r="I5" s="0" t="inlineStr">
        <is>
          <t>Precio de folleto (oferta del 7 al 27 sept), ya caducado</t>
        </is>
      </c>
      <c r="J5" s="0" t="inlineStr">
        <is>
          <t>https://familycash.folle.to/images/familycash/familycash-weekly-ad.pdf</t>
        </is>
      </c>
    </row>
    <row r="6">
      <c r="A6" s="0" t="inlineStr">
        <is>
          <t>Bebida isotónica</t>
        </is>
      </c>
      <c r="B6" s="0" t="inlineStr">
        <is>
          <t>Family Cash</t>
        </is>
      </c>
      <c r="C6" s="0" t="n">
        <v>0.55</v>
      </c>
      <c r="D6" s="0" t="inlineStr">
        <is>
          <t>ud</t>
        </is>
      </c>
      <c r="E6" s="0" t="inlineStr">
        <is>
          <t>50 cl</t>
        </is>
      </c>
      <c r="F6" s="0" t="inlineStr">
        <is>
          <t>Bebida isotónica Upgrade</t>
        </is>
      </c>
      <c r="G6" s="0" t="inlineStr">
        <is>
          <t>2026-09-07</t>
        </is>
      </c>
      <c r="H6" s="0" t="inlineStr">
        <is>
          <t>2026-09-27</t>
        </is>
      </c>
      <c r="I6" s="0" t="inlineStr">
        <is>
          <t>Precio de folleto (oferta del 7 al 27 sept), ya caducado</t>
        </is>
      </c>
      <c r="J6" s="0" t="inlineStr">
        <is>
          <t>https://familycash.folle.to/images/familycash/familycash-weekly-ad.pdf</t>
        </is>
      </c>
    </row>
    <row r="7">
      <c r="A7" s="0" t="inlineStr">
        <is>
          <t>Cerveza</t>
        </is>
      </c>
      <c r="B7" s="0" t="inlineStr">
        <is>
          <t>Family Cash</t>
        </is>
      </c>
      <c r="C7" s="0" t="n">
        <v>0.79</v>
      </c>
      <c r="D7" s="0" t="inlineStr">
        <is>
          <t>ud</t>
        </is>
      </c>
      <c r="E7" s="0" t="inlineStr">
        <is>
          <t>50 cl</t>
        </is>
      </c>
      <c r="F7" s="0" t="inlineStr">
        <is>
          <t>Cerveza Estrella Galicia</t>
        </is>
      </c>
      <c r="G7" s="0" t="inlineStr">
        <is>
          <t>2026-09-07</t>
        </is>
      </c>
      <c r="H7" s="0" t="inlineStr">
        <is>
          <t>2026-09-27</t>
        </is>
      </c>
      <c r="I7" s="0" t="inlineStr">
        <is>
          <t>Precio de folleto (oferta del 7 al 27 sept), ya caducado</t>
        </is>
      </c>
      <c r="J7" s="0" t="inlineStr">
        <is>
          <t>https://familycash.folle.to/images/familycash/familycash-weekly-ad.pdf</t>
        </is>
      </c>
    </row>
    <row r="8">
      <c r="A8" s="0" t="inlineStr">
        <is>
          <t>Cerveza sin alcohol</t>
        </is>
      </c>
      <c r="B8" s="0" t="inlineStr">
        <is>
          <t>Family Cash</t>
        </is>
      </c>
      <c r="C8" s="0" t="n">
        <v>0.35</v>
      </c>
      <c r="D8" s="0" t="inlineStr">
        <is>
          <t>ud</t>
        </is>
      </c>
      <c r="E8" s="0" t="inlineStr">
        <is>
          <t>33 cl</t>
        </is>
      </c>
      <c r="F8" s="0" t="inlineStr">
        <is>
          <t>Cerveza Skol 0,0</t>
        </is>
      </c>
      <c r="G8" s="0" t="inlineStr">
        <is>
          <t>2026-09-07</t>
        </is>
      </c>
      <c r="H8" s="0" t="inlineStr">
        <is>
          <t>2026-09-27</t>
        </is>
      </c>
      <c r="I8" s="0" t="inlineStr">
        <is>
          <t>Precio de folleto (oferta del 7 al 27 sept), ya caducado</t>
        </is>
      </c>
      <c r="J8" s="0" t="inlineStr">
        <is>
          <t>https://familycash.folle.to/images/familycash/familycash-weekly-ad.pdf</t>
        </is>
      </c>
    </row>
    <row r="9">
      <c r="A9" s="0" t="inlineStr">
        <is>
          <t>Refresco de cola</t>
        </is>
      </c>
      <c r="B9" s="0" t="inlineStr">
        <is>
          <t>Family Cash</t>
        </is>
      </c>
      <c r="C9" s="0" t="n">
        <v>0.49</v>
      </c>
      <c r="D9" s="0" t="inlineStr">
        <is>
          <t>ud</t>
        </is>
      </c>
      <c r="E9" s="0" t="inlineStr">
        <is>
          <t>33 cl</t>
        </is>
      </c>
      <c r="F9" s="0" t="inlineStr">
        <is>
          <t>La Casera cola</t>
        </is>
      </c>
      <c r="G9" s="0" t="inlineStr">
        <is>
          <t>2026-09-07</t>
        </is>
      </c>
      <c r="H9" s="0" t="inlineStr">
        <is>
          <t>2026-09-27</t>
        </is>
      </c>
      <c r="I9" s="0" t="inlineStr">
        <is>
          <t>Precio de folleto (oferta del 7 al 27 sept), ya caducado</t>
        </is>
      </c>
      <c r="J9" s="0" t="inlineStr">
        <is>
          <t>https://familycash.folle.to/images/familycash/familycash-weekly-ad.pdf</t>
        </is>
      </c>
    </row>
    <row r="10">
      <c r="A10" s="0" t="inlineStr">
        <is>
          <t>Refresco de limón</t>
        </is>
      </c>
      <c r="B10" s="0" t="inlineStr">
        <is>
          <t>Family Cash</t>
        </is>
      </c>
      <c r="C10" s="0" t="n">
        <v>0.45</v>
      </c>
      <c r="D10" s="0" t="inlineStr">
        <is>
          <t>ud</t>
        </is>
      </c>
      <c r="E10" s="0" t="inlineStr">
        <is>
          <t>33 cl</t>
        </is>
      </c>
      <c r="F10" s="0" t="inlineStr">
        <is>
          <t>Kas limón</t>
        </is>
      </c>
      <c r="G10" s="0" t="inlineStr">
        <is>
          <t>2026-09-07</t>
        </is>
      </c>
      <c r="H10" s="0" t="inlineStr">
        <is>
          <t>2026-09-27</t>
        </is>
      </c>
      <c r="I10" s="0" t="inlineStr">
        <is>
          <t>Precio de folleto (oferta del 7 al 27 sept), ya caducado</t>
        </is>
      </c>
      <c r="J10" s="0" t="inlineStr">
        <is>
          <t>https://familycash.folle.to/images/familycash/familycash-weekly-ad.pdf</t>
        </is>
      </c>
    </row>
    <row r="11">
      <c r="A11" s="0" t="inlineStr">
        <is>
          <t>Refresco de naranja</t>
        </is>
      </c>
      <c r="B11" s="0" t="inlineStr">
        <is>
          <t>Family Cash</t>
        </is>
      </c>
      <c r="C11" s="0" t="n">
        <v>0.45</v>
      </c>
      <c r="D11" s="0" t="inlineStr">
        <is>
          <t>ud</t>
        </is>
      </c>
      <c r="E11" s="0" t="inlineStr">
        <is>
          <t>33 cl</t>
        </is>
      </c>
      <c r="F11" s="0" t="inlineStr">
        <is>
          <t>Kas naranja</t>
        </is>
      </c>
      <c r="G11" s="0" t="inlineStr">
        <is>
          <t>2026-09-07</t>
        </is>
      </c>
      <c r="H11" s="0" t="inlineStr">
        <is>
          <t>2026-09-27</t>
        </is>
      </c>
      <c r="I11" s="0" t="inlineStr">
        <is>
          <t>Precio de folleto (oferta del 7 al 27 sept), ya caducado</t>
        </is>
      </c>
      <c r="J11" s="0" t="inlineStr">
        <is>
          <t>https://familycash.folle.to/images/familycash/familycash-weekly-ad.pdf</t>
        </is>
      </c>
    </row>
    <row r="12">
      <c r="A12" s="0" t="inlineStr">
        <is>
          <t>Vino blanco</t>
        </is>
      </c>
      <c r="B12" s="0" t="inlineStr">
        <is>
          <t>Family Cash</t>
        </is>
      </c>
      <c r="C12" s="0" t="n">
        <v>1.95</v>
      </c>
      <c r="D12" s="0" t="inlineStr">
        <is>
          <t>ud</t>
        </is>
      </c>
      <c r="E12" s="0" t="inlineStr">
        <is>
          <t>75 cl</t>
        </is>
      </c>
      <c r="F12" s="0" t="inlineStr">
        <is>
          <t>Vino blanco verdejo Berberana Carta de Plata</t>
        </is>
      </c>
      <c r="G12" s="0" t="inlineStr">
        <is>
          <t>2026-09-07</t>
        </is>
      </c>
      <c r="H12" s="0" t="inlineStr">
        <is>
          <t>2026-09-27</t>
        </is>
      </c>
      <c r="I12" s="0" t="inlineStr">
        <is>
          <t>Precio de folleto (oferta del 7 al 27 sept), ya caducado</t>
        </is>
      </c>
      <c r="J12" s="0" t="inlineStr">
        <is>
          <t>https://familycash.folle.to/images/familycash/familycash-weekly-ad.pdf</t>
        </is>
      </c>
    </row>
    <row r="13">
      <c r="A13" s="0" t="inlineStr">
        <is>
          <t>Vino tinto</t>
        </is>
      </c>
      <c r="B13" s="0" t="inlineStr">
        <is>
          <t>Family Cash</t>
        </is>
      </c>
      <c r="C13" s="0" t="n">
        <v>1.95</v>
      </c>
      <c r="D13" s="0" t="inlineStr">
        <is>
          <t>ud</t>
        </is>
      </c>
      <c r="E13" s="0" t="inlineStr">
        <is>
          <t>75 cl</t>
        </is>
      </c>
      <c r="F13" s="0" t="inlineStr">
        <is>
          <t>Vino tinto Berberana Carta de Plata</t>
        </is>
      </c>
      <c r="G13" s="0" t="inlineStr">
        <is>
          <t>2026-09-07</t>
        </is>
      </c>
      <c r="H13" s="0" t="inlineStr">
        <is>
          <t>2026-09-27</t>
        </is>
      </c>
      <c r="I13" s="0" t="inlineStr">
        <is>
          <t>Precio de folleto (oferta del 7 al 27 sept), ya caducado</t>
        </is>
      </c>
      <c r="J13" s="0" t="inlineStr">
        <is>
          <t>https://familycash.folle.to/images/familycash/familycash-weekly-ad.pdf</t>
        </is>
      </c>
    </row>
    <row r="14">
      <c r="A14" s="0" t="inlineStr">
        <is>
          <t>Papilla de cereales</t>
        </is>
      </c>
      <c r="B14" s="0" t="inlineStr">
        <is>
          <t>Family Cash</t>
        </is>
      </c>
      <c r="C14" s="0" t="n">
        <v>2.49</v>
      </c>
      <c r="D14" s="0" t="inlineStr">
        <is>
          <t>ud</t>
        </is>
      </c>
      <c r="E14" s="0" t="inlineStr">
        <is>
          <t>250 g</t>
        </is>
      </c>
      <c r="F14" s="0" t="inlineStr">
        <is>
          <t>Papilla Nestlé 0,0% multicereales</t>
        </is>
      </c>
      <c r="G14" s="0" t="inlineStr">
        <is>
          <t>2026-09-07</t>
        </is>
      </c>
      <c r="H14" s="0" t="inlineStr">
        <is>
          <t>2026-09-27</t>
        </is>
      </c>
      <c r="I14" s="0" t="inlineStr">
        <is>
          <t>Precio de folleto (oferta del 7 al 27 sept), ya caducado</t>
        </is>
      </c>
      <c r="J14" s="0" t="inlineStr">
        <is>
          <t>https://familycash.folle.to/images/familycash/familycash-weekly-ad.pdf</t>
        </is>
      </c>
    </row>
    <row r="15">
      <c r="A15" s="0" t="inlineStr">
        <is>
          <t>Alitas de pollo</t>
        </is>
      </c>
      <c r="B15" s="0" t="inlineStr">
        <is>
          <t>Family Cash</t>
        </is>
      </c>
      <c r="C15" s="0" t="n">
        <v>3.49</v>
      </c>
      <c r="D15" s="0" t="inlineStr">
        <is>
          <t>kg</t>
        </is>
      </c>
      <c r="E15" s="0" t="inlineStr"/>
      <c r="F15" s="0" t="inlineStr">
        <is>
          <t>Alas de pollo a granel</t>
        </is>
      </c>
      <c r="G15" s="0" t="inlineStr">
        <is>
          <t>2026-09-07</t>
        </is>
      </c>
      <c r="H15" s="0" t="inlineStr">
        <is>
          <t>2026-09-27</t>
        </is>
      </c>
      <c r="I15" s="0" t="inlineStr">
        <is>
          <t>Precio de folleto (oferta del 7 al 27 sept), ya caducado</t>
        </is>
      </c>
      <c r="J15" s="0" t="inlineStr">
        <is>
          <t>https://familycash.folle.to/images/familycash/familycash-weekly-ad.pdf</t>
        </is>
      </c>
    </row>
    <row r="16">
      <c r="A16" s="0" t="inlineStr">
        <is>
          <t>Boquerones</t>
        </is>
      </c>
      <c r="B16" s="0" t="inlineStr">
        <is>
          <t>Family Cash</t>
        </is>
      </c>
      <c r="C16" s="0" t="n">
        <v>4.99</v>
      </c>
      <c r="D16" s="0" t="inlineStr">
        <is>
          <t>kg</t>
        </is>
      </c>
      <c r="E16" s="0" t="inlineStr"/>
      <c r="F16" s="0" t="inlineStr">
        <is>
          <t>Boquerón congelado a granel</t>
        </is>
      </c>
      <c r="G16" s="0" t="inlineStr">
        <is>
          <t>2026-09-07</t>
        </is>
      </c>
      <c r="H16" s="0" t="inlineStr">
        <is>
          <t>2026-09-27</t>
        </is>
      </c>
      <c r="I16" s="0" t="inlineStr">
        <is>
          <t>Precio de folleto (oferta del 7 al 27 sept), ya caducado; Congelado</t>
        </is>
      </c>
      <c r="J16" s="0" t="inlineStr">
        <is>
          <t>https://familycash.folle.to/images/familycash/familycash-weekly-ad.pdf</t>
        </is>
      </c>
    </row>
    <row r="17">
      <c r="A17" s="0" t="inlineStr">
        <is>
          <t>Calamares</t>
        </is>
      </c>
      <c r="B17" s="0" t="inlineStr">
        <is>
          <t>Family Cash</t>
        </is>
      </c>
      <c r="C17" s="0" t="n">
        <v>6.99</v>
      </c>
      <c r="D17" s="0" t="inlineStr">
        <is>
          <t>kg</t>
        </is>
      </c>
      <c r="E17" s="0" t="inlineStr"/>
      <c r="F17" s="0" t="inlineStr">
        <is>
          <t>Calamar patagónico a granel</t>
        </is>
      </c>
      <c r="G17" s="0" t="inlineStr">
        <is>
          <t>2026-09-07</t>
        </is>
      </c>
      <c r="H17" s="0" t="inlineStr">
        <is>
          <t>2026-09-27</t>
        </is>
      </c>
      <c r="I17" s="0" t="inlineStr">
        <is>
          <t>Precio de folleto (oferta del 7 al 27 sept), ya caducado</t>
        </is>
      </c>
      <c r="J17" s="0" t="inlineStr">
        <is>
          <t>https://familycash.folle.to/images/familycash/familycash-weekly-ad.pdf</t>
        </is>
      </c>
    </row>
    <row r="18">
      <c r="A18" s="0" t="inlineStr">
        <is>
          <t>Carne picada</t>
        </is>
      </c>
      <c r="B18" s="0" t="inlineStr">
        <is>
          <t>Family Cash</t>
        </is>
      </c>
      <c r="C18" s="0" t="n">
        <v>5.99</v>
      </c>
      <c r="D18" s="0" t="inlineStr">
        <is>
          <t>ud</t>
        </is>
      </c>
      <c r="E18" s="0" t="inlineStr">
        <is>
          <t>800 g</t>
        </is>
      </c>
      <c r="F18" s="0" t="inlineStr">
        <is>
          <t>Preparado carne picada vacuno y cerdo</t>
        </is>
      </c>
      <c r="G18" s="0" t="inlineStr">
        <is>
          <t>2026-09-07</t>
        </is>
      </c>
      <c r="H18" s="0" t="inlineStr">
        <is>
          <t>2026-09-27</t>
        </is>
      </c>
      <c r="I18" s="0" t="inlineStr">
        <is>
          <t>Precio de folleto (oferta del 7 al 27 sept), ya caducado</t>
        </is>
      </c>
      <c r="J18" s="0" t="inlineStr">
        <is>
          <t>https://familycash.folle.to/images/familycash/familycash-weekly-ad.pdf</t>
        </is>
      </c>
    </row>
    <row r="19">
      <c r="A19" s="0" t="inlineStr">
        <is>
          <t>Chuletas de cerdo</t>
        </is>
      </c>
      <c r="B19" s="0" t="inlineStr">
        <is>
          <t>Family Cash</t>
        </is>
      </c>
      <c r="C19" s="0" t="n">
        <v>3.95</v>
      </c>
      <c r="D19" s="0" t="inlineStr">
        <is>
          <t>kg</t>
        </is>
      </c>
      <c r="E19" s="0" t="inlineStr"/>
      <c r="F19" s="0" t="inlineStr">
        <is>
          <t>Chuletas de aguja de cerdo Duroc con hueso</t>
        </is>
      </c>
      <c r="G19" s="0" t="inlineStr">
        <is>
          <t>2026-09-07</t>
        </is>
      </c>
      <c r="H19" s="0" t="inlineStr">
        <is>
          <t>2026-09-27</t>
        </is>
      </c>
      <c r="I19" s="0" t="inlineStr">
        <is>
          <t>Precio de folleto (oferta del 7 al 27 sept), ya caducado</t>
        </is>
      </c>
      <c r="J19" s="0" t="inlineStr">
        <is>
          <t>https://familycash.folle.to/images/familycash/familycash-weekly-ad.pdf</t>
        </is>
      </c>
    </row>
    <row r="20">
      <c r="A20" s="0" t="inlineStr">
        <is>
          <t>Cordero</t>
        </is>
      </c>
      <c r="B20" s="0" t="inlineStr">
        <is>
          <t>Family Cash</t>
        </is>
      </c>
      <c r="C20" s="0" t="n">
        <v>15.95</v>
      </c>
      <c r="D20" s="0" t="inlineStr">
        <is>
          <t>kg</t>
        </is>
      </c>
      <c r="E20" s="0" t="inlineStr"/>
      <c r="F20" s="0" t="inlineStr">
        <is>
          <t>Cordero a cuartos</t>
        </is>
      </c>
      <c r="G20" s="0" t="inlineStr">
        <is>
          <t>2026-09-07</t>
        </is>
      </c>
      <c r="H20" s="0" t="inlineStr">
        <is>
          <t>2026-09-27</t>
        </is>
      </c>
      <c r="I20" s="0" t="inlineStr">
        <is>
          <t>Precio de folleto (oferta del 7 al 27 sept), ya caducado</t>
        </is>
      </c>
      <c r="J20" s="0" t="inlineStr">
        <is>
          <t>https://familycash.folle.to/images/familycash/familycash-weekly-ad.pdf</t>
        </is>
      </c>
    </row>
    <row r="21">
      <c r="A21" s="0" t="inlineStr">
        <is>
          <t>Filetes de ternera</t>
        </is>
      </c>
      <c r="B21" s="0" t="inlineStr">
        <is>
          <t>Family Cash</t>
        </is>
      </c>
      <c r="C21" s="0" t="n">
        <v>16.95</v>
      </c>
      <c r="D21" s="0" t="inlineStr">
        <is>
          <t>kg</t>
        </is>
      </c>
      <c r="E21" s="0" t="inlineStr"/>
      <c r="F21" s="0" t="inlineStr">
        <is>
          <t>Filete babilla de vacuno</t>
        </is>
      </c>
      <c r="G21" s="0" t="inlineStr">
        <is>
          <t>2026-09-07</t>
        </is>
      </c>
      <c r="H21" s="0" t="inlineStr">
        <is>
          <t>2026-09-27</t>
        </is>
      </c>
      <c r="I21" s="0" t="inlineStr">
        <is>
          <t>Precio de folleto (oferta del 7 al 27 sept), ya caducado</t>
        </is>
      </c>
      <c r="J21" s="0" t="inlineStr">
        <is>
          <t>https://familycash.folle.to/images/familycash/familycash-weekly-ad.pdf</t>
        </is>
      </c>
    </row>
    <row r="22">
      <c r="A22" s="0" t="inlineStr">
        <is>
          <t>Langostinos</t>
        </is>
      </c>
      <c r="B22" s="0" t="inlineStr">
        <is>
          <t>Family Cash</t>
        </is>
      </c>
      <c r="C22" s="0" t="n">
        <v>8.390000000000001</v>
      </c>
      <c r="D22" s="0" t="inlineStr">
        <is>
          <t>kg</t>
        </is>
      </c>
      <c r="E22" s="0" t="inlineStr"/>
      <c r="F22" s="0" t="inlineStr">
        <is>
          <t>Langostino Vannamei crudo 30/40</t>
        </is>
      </c>
      <c r="G22" s="0" t="inlineStr">
        <is>
          <t>2026-09-07</t>
        </is>
      </c>
      <c r="H22" s="0" t="inlineStr">
        <is>
          <t>2026-09-27</t>
        </is>
      </c>
      <c r="I22" s="0" t="inlineStr">
        <is>
          <t>Precio de folleto (oferta del 7 al 27 sept), ya caducado</t>
        </is>
      </c>
      <c r="J22" s="0" t="inlineStr">
        <is>
          <t>https://familycash.folle.to/images/familycash/familycash-weekly-ad.pdf</t>
        </is>
      </c>
    </row>
    <row r="23">
      <c r="A23" s="0" t="inlineStr">
        <is>
          <t>Pechuga de pollo</t>
        </is>
      </c>
      <c r="B23" s="0" t="inlineStr">
        <is>
          <t>Family Cash</t>
        </is>
      </c>
      <c r="C23" s="0" t="n">
        <v>4.99</v>
      </c>
      <c r="D23" s="0" t="inlineStr">
        <is>
          <t>kg</t>
        </is>
      </c>
      <c r="E23" s="0" t="inlineStr"/>
      <c r="F23" s="0" t="inlineStr">
        <is>
          <t>Pechuga de pollo entera (compra mínima 2 kg)</t>
        </is>
      </c>
      <c r="G23" s="0" t="inlineStr">
        <is>
          <t>2026-09-07</t>
        </is>
      </c>
      <c r="H23" s="0" t="inlineStr">
        <is>
          <t>2026-09-27</t>
        </is>
      </c>
      <c r="I23" s="0" t="inlineStr">
        <is>
          <t>Precio de folleto (oferta del 7 al 27 sept), ya caducado</t>
        </is>
      </c>
      <c r="J23" s="0" t="inlineStr">
        <is>
          <t>https://familycash.folle.to/images/familycash/familycash-weekly-ad.pdf</t>
        </is>
      </c>
    </row>
    <row r="24">
      <c r="A24" s="0" t="inlineStr">
        <is>
          <t>Pollo entero</t>
        </is>
      </c>
      <c r="B24" s="0" t="inlineStr">
        <is>
          <t>Family Cash</t>
        </is>
      </c>
      <c r="C24" s="0" t="n">
        <v>2.99</v>
      </c>
      <c r="D24" s="0" t="inlineStr">
        <is>
          <t>ud</t>
        </is>
      </c>
      <c r="E24" s="0" t="inlineStr">
        <is>
          <t>1,2 kg</t>
        </is>
      </c>
      <c r="F24" s="0" t="inlineStr">
        <is>
          <t>Pollo entero congelado</t>
        </is>
      </c>
      <c r="G24" s="0" t="inlineStr">
        <is>
          <t>2026-09-07</t>
        </is>
      </c>
      <c r="H24" s="0" t="inlineStr">
        <is>
          <t>2026-09-27</t>
        </is>
      </c>
      <c r="I24" s="0" t="inlineStr">
        <is>
          <t>Precio de folleto (oferta del 7 al 27 sept), ya caducado; Congelado</t>
        </is>
      </c>
      <c r="J24" s="0" t="inlineStr">
        <is>
          <t>https://familycash.folle.to/images/familycash/familycash-weekly-ad.pdf</t>
        </is>
      </c>
    </row>
    <row r="25">
      <c r="A25" s="0" t="inlineStr">
        <is>
          <t>Salmón</t>
        </is>
      </c>
      <c r="B25" s="0" t="inlineStr">
        <is>
          <t>Family Cash</t>
        </is>
      </c>
      <c r="C25" s="0" t="n">
        <v>8.99</v>
      </c>
      <c r="D25" s="0" t="inlineStr">
        <is>
          <t>kg</t>
        </is>
      </c>
      <c r="E25" s="0" t="inlineStr"/>
      <c r="F25" s="0" t="inlineStr">
        <is>
          <t>Salmón entero o medios (2-3 kg)</t>
        </is>
      </c>
      <c r="G25" s="0" t="inlineStr">
        <is>
          <t>2026-09-07</t>
        </is>
      </c>
      <c r="H25" s="0" t="inlineStr">
        <is>
          <t>2026-09-27</t>
        </is>
      </c>
      <c r="I25" s="0" t="inlineStr">
        <is>
          <t>Precio de folleto (oferta del 7 al 27 sept), ya caducado</t>
        </is>
      </c>
      <c r="J25" s="0" t="inlineStr">
        <is>
          <t>https://familycash.folle.to/images/familycash/familycash-weekly-ad.pdf</t>
        </is>
      </c>
    </row>
    <row r="26">
      <c r="A26" s="0" t="inlineStr">
        <is>
          <t>Sardinas</t>
        </is>
      </c>
      <c r="B26" s="0" t="inlineStr">
        <is>
          <t>Family Cash</t>
        </is>
      </c>
      <c r="C26" s="0" t="n">
        <v>3.99</v>
      </c>
      <c r="D26" s="0" t="inlineStr">
        <is>
          <t>kg</t>
        </is>
      </c>
      <c r="E26" s="0" t="inlineStr"/>
      <c r="F26" s="0" t="inlineStr">
        <is>
          <t>Sardina pequeña a granel</t>
        </is>
      </c>
      <c r="G26" s="0" t="inlineStr">
        <is>
          <t>2026-09-07</t>
        </is>
      </c>
      <c r="H26" s="0" t="inlineStr">
        <is>
          <t>2026-09-27</t>
        </is>
      </c>
      <c r="I26" s="0" t="inlineStr">
        <is>
          <t>Precio de folleto (oferta del 7 al 27 sept), ya caducado</t>
        </is>
      </c>
      <c r="J26" s="0" t="inlineStr">
        <is>
          <t>https://familycash.folle.to/images/familycash/familycash-weekly-ad.pdf</t>
        </is>
      </c>
    </row>
    <row r="27">
      <c r="A27" s="0" t="inlineStr">
        <is>
          <t>Secreto ibérico</t>
        </is>
      </c>
      <c r="B27" s="0" t="inlineStr">
        <is>
          <t>Family Cash</t>
        </is>
      </c>
      <c r="C27" s="0" t="n">
        <v>12.95</v>
      </c>
      <c r="D27" s="0" t="inlineStr">
        <is>
          <t>kg</t>
        </is>
      </c>
      <c r="E27" s="0" t="inlineStr"/>
      <c r="F27" s="0" t="inlineStr">
        <is>
          <t>Secreto de cerdo ibérico</t>
        </is>
      </c>
      <c r="G27" s="0" t="inlineStr">
        <is>
          <t>2026-09-07</t>
        </is>
      </c>
      <c r="H27" s="0" t="inlineStr">
        <is>
          <t>2026-09-27</t>
        </is>
      </c>
      <c r="I27" s="0" t="inlineStr">
        <is>
          <t>Precio de folleto (oferta del 7 al 27 sept), ya caducado</t>
        </is>
      </c>
      <c r="J27" s="0" t="inlineStr">
        <is>
          <t>https://familycash.folle.to/images/familycash/familycash-weekly-ad.pdf</t>
        </is>
      </c>
    </row>
    <row r="28">
      <c r="A28" s="0" t="inlineStr">
        <is>
          <t>Sepia</t>
        </is>
      </c>
      <c r="B28" s="0" t="inlineStr">
        <is>
          <t>Family Cash</t>
        </is>
      </c>
      <c r="C28" s="0" t="n">
        <v>10.99</v>
      </c>
      <c r="D28" s="0" t="inlineStr">
        <is>
          <t>ud</t>
        </is>
      </c>
      <c r="E28" s="0" t="inlineStr">
        <is>
          <t>880 g</t>
        </is>
      </c>
      <c r="F28" s="0" t="inlineStr">
        <is>
          <t>Sepia limpia troceada MR Cold</t>
        </is>
      </c>
      <c r="G28" s="0" t="inlineStr">
        <is>
          <t>2026-09-07</t>
        </is>
      </c>
      <c r="H28" s="0" t="inlineStr">
        <is>
          <t>2026-09-27</t>
        </is>
      </c>
      <c r="I28" s="0" t="inlineStr">
        <is>
          <t>Precio de folleto (oferta del 7 al 27 sept), ya caducado; Congelado</t>
        </is>
      </c>
      <c r="J28" s="0" t="inlineStr">
        <is>
          <t>https://familycash.folle.to/images/familycash/familycash-weekly-ad.pdf</t>
        </is>
      </c>
    </row>
    <row r="29">
      <c r="A29" s="0" t="inlineStr">
        <is>
          <t>Chorizo</t>
        </is>
      </c>
      <c r="B29" s="0" t="inlineStr">
        <is>
          <t>Family Cash</t>
        </is>
      </c>
      <c r="C29" s="0" t="n">
        <v>13.99</v>
      </c>
      <c r="D29" s="0" t="inlineStr">
        <is>
          <t>kg</t>
        </is>
      </c>
      <c r="E29" s="0" t="inlineStr"/>
      <c r="F29" s="0" t="inlineStr">
        <is>
          <t>Pan de chorizo Regio Oro (al corte)</t>
        </is>
      </c>
      <c r="G29" s="0" t="inlineStr">
        <is>
          <t>2026-09-07</t>
        </is>
      </c>
      <c r="H29" s="0" t="inlineStr">
        <is>
          <t>2026-09-27</t>
        </is>
      </c>
      <c r="I29" s="0" t="inlineStr">
        <is>
          <t>Precio de folleto (oferta del 7 al 27 sept), ya caducado</t>
        </is>
      </c>
      <c r="J29" s="0" t="inlineStr">
        <is>
          <t>https://familycash.folle.to/images/familycash/familycash-weekly-ad.pdf</t>
        </is>
      </c>
    </row>
    <row r="30">
      <c r="A30" s="0" t="inlineStr">
        <is>
          <t>Salchichón</t>
        </is>
      </c>
      <c r="B30" s="0" t="inlineStr">
        <is>
          <t>Family Cash</t>
        </is>
      </c>
      <c r="C30" s="0" t="n">
        <v>13.99</v>
      </c>
      <c r="D30" s="0" t="inlineStr">
        <is>
          <t>kg</t>
        </is>
      </c>
      <c r="E30" s="0" t="inlineStr"/>
      <c r="F30" s="0" t="inlineStr">
        <is>
          <t>Pan de salchichón Regio Oro (al corte)</t>
        </is>
      </c>
      <c r="G30" s="0" t="inlineStr">
        <is>
          <t>2026-09-07</t>
        </is>
      </c>
      <c r="H30" s="0" t="inlineStr">
        <is>
          <t>2026-09-27</t>
        </is>
      </c>
      <c r="I30" s="0" t="inlineStr">
        <is>
          <t>Precio de folleto (oferta del 7 al 27 sept), ya caducado</t>
        </is>
      </c>
      <c r="J30" s="0" t="inlineStr">
        <is>
          <t>https://familycash.folle.to/images/familycash/familycash-weekly-ad.pdf</t>
        </is>
      </c>
    </row>
    <row r="31">
      <c r="A31" s="0" t="inlineStr">
        <is>
          <t>Jamón cocido</t>
        </is>
      </c>
      <c r="B31" s="0" t="inlineStr">
        <is>
          <t>Family Cash</t>
        </is>
      </c>
      <c r="C31" s="0" t="n">
        <v>3.29</v>
      </c>
      <c r="D31" s="0" t="inlineStr">
        <is>
          <t>ud</t>
        </is>
      </c>
      <c r="E31" s="0" t="inlineStr">
        <is>
          <t>500 g</t>
        </is>
      </c>
      <c r="F31" s="0" t="inlineStr">
        <is>
          <t>Jamón cocido sándwich lonchas Family</t>
        </is>
      </c>
      <c r="G31" s="0" t="inlineStr">
        <is>
          <t>2026-09-07</t>
        </is>
      </c>
      <c r="H31" s="0" t="inlineStr">
        <is>
          <t>2026-09-27</t>
        </is>
      </c>
      <c r="I31" s="0" t="inlineStr">
        <is>
          <t>Precio de folleto (oferta del 7 al 27 sept), ya caducado</t>
        </is>
      </c>
      <c r="J31" s="0" t="inlineStr">
        <is>
          <t>https://familycash.folle.to/images/familycash/familycash-weekly-ad.pdf</t>
        </is>
      </c>
    </row>
    <row r="32">
      <c r="A32" s="0" t="inlineStr">
        <is>
          <t>Jamón serrano</t>
        </is>
      </c>
      <c r="B32" s="0" t="inlineStr">
        <is>
          <t>Family Cash</t>
        </is>
      </c>
      <c r="C32" s="0" t="n">
        <v>4.99</v>
      </c>
      <c r="D32" s="0" t="inlineStr">
        <is>
          <t>ud</t>
        </is>
      </c>
      <c r="E32" s="0" t="inlineStr">
        <is>
          <t>380 g</t>
        </is>
      </c>
      <c r="F32" s="0" t="inlineStr">
        <is>
          <t>Jamón serrano Turón</t>
        </is>
      </c>
      <c r="G32" s="0" t="inlineStr">
        <is>
          <t>2026-09-07</t>
        </is>
      </c>
      <c r="H32" s="0" t="inlineStr">
        <is>
          <t>2026-09-27</t>
        </is>
      </c>
      <c r="I32" s="0" t="inlineStr">
        <is>
          <t>Precio de folleto (oferta del 7 al 27 sept), ya caducado</t>
        </is>
      </c>
      <c r="J32" s="0" t="inlineStr">
        <is>
          <t>https://familycash.folle.to/images/familycash/familycash-weekly-ad.pdf</t>
        </is>
      </c>
    </row>
    <row r="33">
      <c r="A33" s="0" t="inlineStr">
        <is>
          <t>Queso rallado</t>
        </is>
      </c>
      <c r="B33" s="0" t="inlineStr">
        <is>
          <t>Family Cash</t>
        </is>
      </c>
      <c r="C33" s="0" t="n">
        <v>5.99</v>
      </c>
      <c r="D33" s="0" t="inlineStr">
        <is>
          <t>ud</t>
        </is>
      </c>
      <c r="E33" s="0" t="inlineStr">
        <is>
          <t>1 kg</t>
        </is>
      </c>
      <c r="F33" s="0" t="inlineStr">
        <is>
          <t>Queso rallado 4 quesos Family</t>
        </is>
      </c>
      <c r="G33" s="0" t="inlineStr">
        <is>
          <t>2026-09-07</t>
        </is>
      </c>
      <c r="H33" s="0" t="inlineStr">
        <is>
          <t>2026-09-27</t>
        </is>
      </c>
      <c r="I33" s="0" t="inlineStr">
        <is>
          <t>Precio de folleto (oferta del 7 al 27 sept), ya caducado</t>
        </is>
      </c>
      <c r="J33" s="0" t="inlineStr">
        <is>
          <t>https://familycash.folle.to/images/familycash/familycash-weekly-ad.pdf</t>
        </is>
      </c>
    </row>
    <row r="34">
      <c r="A34" s="0" t="inlineStr">
        <is>
          <t>Pechuga de pavo</t>
        </is>
      </c>
      <c r="B34" s="0" t="inlineStr">
        <is>
          <t>Family Cash</t>
        </is>
      </c>
      <c r="C34" s="0" t="n">
        <v>2.29</v>
      </c>
      <c r="D34" s="0" t="inlineStr">
        <is>
          <t>ud</t>
        </is>
      </c>
      <c r="E34" s="0" t="inlineStr">
        <is>
          <t>100 g</t>
        </is>
      </c>
      <c r="F34" s="0" t="inlineStr">
        <is>
          <t>Pechuguita de pavo asada Carretilla</t>
        </is>
      </c>
      <c r="G34" s="0" t="inlineStr">
        <is>
          <t>2026-09-07</t>
        </is>
      </c>
      <c r="H34" s="0" t="inlineStr">
        <is>
          <t>2026-09-27</t>
        </is>
      </c>
      <c r="I34" s="0" t="inlineStr">
        <is>
          <t>Precio de folleto (oferta del 7 al 27 sept), ya caducado</t>
        </is>
      </c>
      <c r="J34" s="0" t="inlineStr">
        <is>
          <t>https://familycash.folle.to/images/familycash/familycash-weekly-ad.pdf</t>
        </is>
      </c>
    </row>
    <row r="35">
      <c r="A35" s="0" t="inlineStr">
        <is>
          <t>Queso curado</t>
        </is>
      </c>
      <c r="B35" s="0" t="inlineStr">
        <is>
          <t>Family Cash</t>
        </is>
      </c>
      <c r="C35" s="0" t="n">
        <v>13.99</v>
      </c>
      <c r="D35" s="0" t="inlineStr">
        <is>
          <t>kg</t>
        </is>
      </c>
      <c r="E35" s="0" t="inlineStr"/>
      <c r="F35" s="0" t="inlineStr">
        <is>
          <t>Queso de oveja viejo Don Ismael (al corte)</t>
        </is>
      </c>
      <c r="G35" s="0" t="inlineStr">
        <is>
          <t>2026-09-07</t>
        </is>
      </c>
      <c r="H35" s="0" t="inlineStr">
        <is>
          <t>2026-09-27</t>
        </is>
      </c>
      <c r="I35" s="0" t="inlineStr">
        <is>
          <t>Precio de folleto (oferta del 7 al 27 sept), ya caducado</t>
        </is>
      </c>
      <c r="J35" s="0" t="inlineStr">
        <is>
          <t>https://familycash.folle.to/images/familycash/familycash-weekly-ad.pdf</t>
        </is>
      </c>
    </row>
    <row r="36">
      <c r="A36" s="0" t="inlineStr">
        <is>
          <t>Queso de cabra</t>
        </is>
      </c>
      <c r="B36" s="0" t="inlineStr">
        <is>
          <t>Family Cash</t>
        </is>
      </c>
      <c r="C36" s="0" t="n">
        <v>14.99</v>
      </c>
      <c r="D36" s="0" t="inlineStr">
        <is>
          <t>kg</t>
        </is>
      </c>
      <c r="E36" s="0" t="inlineStr"/>
      <c r="F36" s="0" t="inlineStr">
        <is>
          <t>Queso de cabra semicurado Don Ismael (al corte)</t>
        </is>
      </c>
      <c r="G36" s="0" t="inlineStr">
        <is>
          <t>2026-09-07</t>
        </is>
      </c>
      <c r="H36" s="0" t="inlineStr">
        <is>
          <t>2026-09-27</t>
        </is>
      </c>
      <c r="I36" s="0" t="inlineStr">
        <is>
          <t>Precio de folleto (oferta del 7 al 27 sept), ya caducado</t>
        </is>
      </c>
      <c r="J36" s="0" t="inlineStr">
        <is>
          <t>https://familycash.folle.to/images/familycash/familycash-weekly-ad.pdf</t>
        </is>
      </c>
    </row>
    <row r="37">
      <c r="A37" s="0" t="inlineStr">
        <is>
          <t>Queso semicurado</t>
        </is>
      </c>
      <c r="B37" s="0" t="inlineStr">
        <is>
          <t>Family Cash</t>
        </is>
      </c>
      <c r="C37" s="0" t="n">
        <v>6.99</v>
      </c>
      <c r="D37" s="0" t="inlineStr">
        <is>
          <t>kg</t>
        </is>
      </c>
      <c r="E37" s="0" t="inlineStr"/>
      <c r="F37" s="0" t="inlineStr">
        <is>
          <t>Queso semicurado Escudo de Villalón (al corte)</t>
        </is>
      </c>
      <c r="G37" s="0" t="inlineStr">
        <is>
          <t>2026-09-07</t>
        </is>
      </c>
      <c r="H37" s="0" t="inlineStr">
        <is>
          <t>2026-09-27</t>
        </is>
      </c>
      <c r="I37" s="0" t="inlineStr">
        <is>
          <t>Precio de folleto (oferta del 7 al 27 sept), ya caducado</t>
        </is>
      </c>
      <c r="J37" s="0" t="inlineStr">
        <is>
          <t>https://familycash.folle.to/images/familycash/familycash-weekly-ad.pdf</t>
        </is>
      </c>
    </row>
    <row r="38">
      <c r="A38" s="0" t="inlineStr">
        <is>
          <t>Helado</t>
        </is>
      </c>
      <c r="B38" s="0" t="inlineStr">
        <is>
          <t>Family Cash</t>
        </is>
      </c>
      <c r="C38" s="0" t="n">
        <v>1.99</v>
      </c>
      <c r="D38" s="0" t="inlineStr">
        <is>
          <t>ud</t>
        </is>
      </c>
      <c r="E38" s="0" t="inlineStr">
        <is>
          <t>6 x 120 ml</t>
        </is>
      </c>
      <c r="F38" s="0" t="inlineStr">
        <is>
          <t>Helado cono Family (surtido)</t>
        </is>
      </c>
      <c r="G38" s="0" t="inlineStr">
        <is>
          <t>2026-09-07</t>
        </is>
      </c>
      <c r="H38" s="0" t="inlineStr">
        <is>
          <t>2026-09-27</t>
        </is>
      </c>
      <c r="I38" s="0" t="inlineStr">
        <is>
          <t>Precio de folleto (oferta del 7 al 27 sept), ya caducado</t>
        </is>
      </c>
      <c r="J38" s="0" t="inlineStr">
        <is>
          <t>https://familycash.folle.to/images/familycash/familycash-weekly-ad.pdf</t>
        </is>
      </c>
    </row>
    <row r="39">
      <c r="A39" s="0" t="inlineStr">
        <is>
          <t>Patatas fritas congeladas</t>
        </is>
      </c>
      <c r="B39" s="0" t="inlineStr">
        <is>
          <t>Family Cash</t>
        </is>
      </c>
      <c r="C39" s="0" t="n">
        <v>3.49</v>
      </c>
      <c r="D39" s="0" t="inlineStr">
        <is>
          <t>ud</t>
        </is>
      </c>
      <c r="E39" s="0" t="inlineStr">
        <is>
          <t>2,5 kg</t>
        </is>
      </c>
      <c r="F39" s="0" t="inlineStr">
        <is>
          <t>Patatas 3/9 Family</t>
        </is>
      </c>
      <c r="G39" s="0" t="inlineStr">
        <is>
          <t>2026-09-07</t>
        </is>
      </c>
      <c r="H39" s="0" t="inlineStr">
        <is>
          <t>2026-09-27</t>
        </is>
      </c>
      <c r="I39" s="0" t="inlineStr">
        <is>
          <t>Precio de folleto (oferta del 7 al 27 sept), ya caducado</t>
        </is>
      </c>
      <c r="J39" s="0" t="inlineStr">
        <is>
          <t>https://familycash.folle.to/images/familycash/familycash-weekly-ad.pdf</t>
        </is>
      </c>
    </row>
    <row r="40">
      <c r="A40" s="0" t="inlineStr">
        <is>
          <t>Pizza congelada</t>
        </is>
      </c>
      <c r="B40" s="0" t="inlineStr">
        <is>
          <t>Family Cash</t>
        </is>
      </c>
      <c r="C40" s="0" t="n">
        <v>2.49</v>
      </c>
      <c r="D40" s="0" t="inlineStr">
        <is>
          <t>ud</t>
        </is>
      </c>
      <c r="E40" s="0" t="inlineStr">
        <is>
          <t>250 g</t>
        </is>
      </c>
      <c r="F40" s="0" t="inlineStr">
        <is>
          <t>Pizza snacks (surtido)</t>
        </is>
      </c>
      <c r="G40" s="0" t="inlineStr">
        <is>
          <t>2026-09-07</t>
        </is>
      </c>
      <c r="H40" s="0" t="inlineStr">
        <is>
          <t>2026-09-27</t>
        </is>
      </c>
      <c r="I40" s="0" t="inlineStr">
        <is>
          <t>Precio de folleto (oferta del 7 al 27 sept), ya caducado</t>
        </is>
      </c>
      <c r="J40" s="0" t="inlineStr">
        <is>
          <t>https://familycash.folle.to/images/familycash/familycash-weekly-ad.pdf</t>
        </is>
      </c>
    </row>
    <row r="41">
      <c r="A41" s="0" t="inlineStr">
        <is>
          <t>Verduras congeladas</t>
        </is>
      </c>
      <c r="B41" s="0" t="inlineStr">
        <is>
          <t>Family Cash</t>
        </is>
      </c>
      <c r="C41" s="0" t="n">
        <v>1.79</v>
      </c>
      <c r="D41" s="0" t="inlineStr">
        <is>
          <t>ud</t>
        </is>
      </c>
      <c r="E41" s="0" t="inlineStr">
        <is>
          <t>1 kg</t>
        </is>
      </c>
      <c r="F41" s="0" t="inlineStr">
        <is>
          <t>Mezcla brócoli y apio</t>
        </is>
      </c>
      <c r="G41" s="0" t="inlineStr">
        <is>
          <t>2026-09-07</t>
        </is>
      </c>
      <c r="H41" s="0" t="inlineStr">
        <is>
          <t>2026-09-27</t>
        </is>
      </c>
      <c r="I41" s="0" t="inlineStr">
        <is>
          <t>Precio de folleto (oferta del 7 al 27 sept), ya caducado</t>
        </is>
      </c>
      <c r="J41" s="0" t="inlineStr">
        <is>
          <t>https://familycash.folle.to/images/familycash/familycash-weekly-ad.pdf</t>
        </is>
      </c>
    </row>
    <row r="42">
      <c r="A42" s="0" t="inlineStr">
        <is>
          <t>Aceitunas</t>
        </is>
      </c>
      <c r="B42" s="0" t="inlineStr">
        <is>
          <t>Family Cash</t>
        </is>
      </c>
      <c r="C42" s="0" t="n">
        <v>2.49</v>
      </c>
      <c r="D42" s="0" t="inlineStr">
        <is>
          <t>ud</t>
        </is>
      </c>
      <c r="E42" s="0" t="inlineStr">
        <is>
          <t>3 x 150 g</t>
        </is>
      </c>
      <c r="F42" s="0" t="inlineStr">
        <is>
          <t>Aceituna rellena de anchoa Family Tapas (peso escurrido)</t>
        </is>
      </c>
      <c r="G42" s="0" t="inlineStr">
        <is>
          <t>2026-09-07</t>
        </is>
      </c>
      <c r="H42" s="0" t="inlineStr">
        <is>
          <t>2026-09-27</t>
        </is>
      </c>
      <c r="I42" s="0" t="inlineStr">
        <is>
          <t>Precio de folleto (oferta del 7 al 27 sept), ya caducado</t>
        </is>
      </c>
      <c r="J42" s="0" t="inlineStr">
        <is>
          <t>https://familycash.folle.to/images/familycash/familycash-weekly-ad.pdf</t>
        </is>
      </c>
    </row>
    <row r="43">
      <c r="A43" s="0" t="inlineStr">
        <is>
          <t>Alcachofas en conserva</t>
        </is>
      </c>
      <c r="B43" s="0" t="inlineStr">
        <is>
          <t>Family Cash</t>
        </is>
      </c>
      <c r="C43" s="0" t="n">
        <v>1.19</v>
      </c>
      <c r="D43" s="0" t="inlineStr">
        <is>
          <t>ud</t>
        </is>
      </c>
      <c r="E43" s="0" t="inlineStr">
        <is>
          <t>165 g</t>
        </is>
      </c>
      <c r="F43" s="0" t="inlineStr">
        <is>
          <t>Alcachofa entera 8-12 Family (peso escurrido)</t>
        </is>
      </c>
      <c r="G43" s="0" t="inlineStr">
        <is>
          <t>2026-09-07</t>
        </is>
      </c>
      <c r="H43" s="0" t="inlineStr">
        <is>
          <t>2026-09-27</t>
        </is>
      </c>
      <c r="I43" s="0" t="inlineStr">
        <is>
          <t>Precio de folleto (oferta del 7 al 27 sept), ya caducado</t>
        </is>
      </c>
      <c r="J43" s="0" t="inlineStr">
        <is>
          <t>https://familycash.folle.to/images/familycash/familycash-weekly-ad.pdf</t>
        </is>
      </c>
    </row>
    <row r="44">
      <c r="A44" s="0" t="inlineStr">
        <is>
          <t>Atún en lata</t>
        </is>
      </c>
      <c r="B44" s="0" t="inlineStr">
        <is>
          <t>Family Cash</t>
        </is>
      </c>
      <c r="C44" s="0" t="n">
        <v>2.99</v>
      </c>
      <c r="D44" s="0" t="inlineStr">
        <is>
          <t>ud</t>
        </is>
      </c>
      <c r="E44" s="0" t="inlineStr">
        <is>
          <t>6 x 54 g</t>
        </is>
      </c>
      <c r="F44" s="0" t="inlineStr">
        <is>
          <t>Atún claro en aceite de girasol Family (peso escurrido)</t>
        </is>
      </c>
      <c r="G44" s="0" t="inlineStr">
        <is>
          <t>2026-09-07</t>
        </is>
      </c>
      <c r="H44" s="0" t="inlineStr">
        <is>
          <t>2026-09-27</t>
        </is>
      </c>
      <c r="I44" s="0" t="inlineStr">
        <is>
          <t>Precio de folleto (oferta del 7 al 27 sept), ya caducado</t>
        </is>
      </c>
      <c r="J44" s="0" t="inlineStr">
        <is>
          <t>https://familycash.folle.to/images/familycash/familycash-weekly-ad.pdf</t>
        </is>
      </c>
    </row>
    <row r="45">
      <c r="A45" s="0" t="inlineStr">
        <is>
          <t>Espárragos</t>
        </is>
      </c>
      <c r="B45" s="0" t="inlineStr">
        <is>
          <t>Family Cash</t>
        </is>
      </c>
      <c r="C45" s="0" t="n">
        <v>1.69</v>
      </c>
      <c r="D45" s="0" t="inlineStr">
        <is>
          <t>ud</t>
        </is>
      </c>
      <c r="E45" s="0" t="inlineStr">
        <is>
          <t>205 g</t>
        </is>
      </c>
      <c r="F45" s="0" t="inlineStr">
        <is>
          <t>Espárrago blanco extra 6-9 Family (peso escurrido)</t>
        </is>
      </c>
      <c r="G45" s="0" t="inlineStr">
        <is>
          <t>2026-09-07</t>
        </is>
      </c>
      <c r="H45" s="0" t="inlineStr">
        <is>
          <t>2026-09-27</t>
        </is>
      </c>
      <c r="I45" s="0" t="inlineStr">
        <is>
          <t>Precio de folleto (oferta del 7 al 27 sept), ya caducado</t>
        </is>
      </c>
      <c r="J45" s="0" t="inlineStr">
        <is>
          <t>https://familycash.folle.to/images/familycash/familycash-weekly-ad.pdf</t>
        </is>
      </c>
    </row>
    <row r="46">
      <c r="A46" s="0" t="inlineStr">
        <is>
          <t>Maíz en lata</t>
        </is>
      </c>
      <c r="B46" s="0" t="inlineStr">
        <is>
          <t>Family Cash</t>
        </is>
      </c>
      <c r="C46" s="0" t="n">
        <v>0.65</v>
      </c>
      <c r="D46" s="0" t="inlineStr">
        <is>
          <t>ud</t>
        </is>
      </c>
      <c r="E46" s="0" t="inlineStr">
        <is>
          <t>285 g</t>
        </is>
      </c>
      <c r="F46" s="0" t="inlineStr">
        <is>
          <t>Maíz dulce Family (peso escurrido)</t>
        </is>
      </c>
      <c r="G46" s="0" t="inlineStr">
        <is>
          <t>2026-09-07</t>
        </is>
      </c>
      <c r="H46" s="0" t="inlineStr">
        <is>
          <t>2026-09-27</t>
        </is>
      </c>
      <c r="I46" s="0" t="inlineStr">
        <is>
          <t>Precio de folleto (oferta del 7 al 27 sept), ya caducado</t>
        </is>
      </c>
      <c r="J46" s="0" t="inlineStr">
        <is>
          <t>https://familycash.folle.to/images/familycash/familycash-weekly-ad.pdf</t>
        </is>
      </c>
    </row>
    <row r="47">
      <c r="A47" s="0" t="inlineStr">
        <is>
          <t>Mejillones en escabeche</t>
        </is>
      </c>
      <c r="B47" s="0" t="inlineStr">
        <is>
          <t>Family Cash</t>
        </is>
      </c>
      <c r="C47" s="0" t="n">
        <v>0.99</v>
      </c>
      <c r="D47" s="0" t="inlineStr">
        <is>
          <t>ud</t>
        </is>
      </c>
      <c r="E47" s="0" t="inlineStr">
        <is>
          <t>69 g</t>
        </is>
      </c>
      <c r="F47" s="0" t="inlineStr">
        <is>
          <t>Mejillones en escabeche pequeños Didi</t>
        </is>
      </c>
      <c r="G47" s="0" t="inlineStr">
        <is>
          <t>2026-09-07</t>
        </is>
      </c>
      <c r="H47" s="0" t="inlineStr">
        <is>
          <t>2026-09-27</t>
        </is>
      </c>
      <c r="I47" s="0" t="inlineStr">
        <is>
          <t>Precio de folleto (oferta del 7 al 27 sept), ya caducado</t>
        </is>
      </c>
      <c r="J47" s="0" t="inlineStr">
        <is>
          <t>https://familycash.folle.to/images/familycash/familycash-weekly-ad.pdf</t>
        </is>
      </c>
    </row>
    <row r="48">
      <c r="A48" s="0" t="inlineStr">
        <is>
          <t>Pimientos del piquillo</t>
        </is>
      </c>
      <c r="B48" s="0" t="inlineStr">
        <is>
          <t>Family Cash</t>
        </is>
      </c>
      <c r="C48" s="0" t="n">
        <v>0.89</v>
      </c>
      <c r="D48" s="0" t="inlineStr">
        <is>
          <t>ud</t>
        </is>
      </c>
      <c r="E48" s="0" t="inlineStr">
        <is>
          <t>220 g</t>
        </is>
      </c>
      <c r="F48" s="0" t="inlineStr">
        <is>
          <t>Pimiento del piquillo Didi</t>
        </is>
      </c>
      <c r="G48" s="0" t="inlineStr">
        <is>
          <t>2026-09-07</t>
        </is>
      </c>
      <c r="H48" s="0" t="inlineStr">
        <is>
          <t>2026-09-27</t>
        </is>
      </c>
      <c r="I48" s="0" t="inlineStr">
        <is>
          <t>Precio de folleto (oferta del 7 al 27 sept), ya caducado</t>
        </is>
      </c>
      <c r="J48" s="0" t="inlineStr">
        <is>
          <t>https://familycash.folle.to/images/familycash/familycash-weekly-ad.pdf</t>
        </is>
      </c>
    </row>
    <row r="49">
      <c r="A49" s="0" t="inlineStr">
        <is>
          <t>Sardinas en lata</t>
        </is>
      </c>
      <c r="B49" s="0" t="inlineStr">
        <is>
          <t>Family Cash</t>
        </is>
      </c>
      <c r="C49" s="0" t="n">
        <v>0.95</v>
      </c>
      <c r="D49" s="0" t="inlineStr">
        <is>
          <t>ud</t>
        </is>
      </c>
      <c r="E49" s="0" t="inlineStr">
        <is>
          <t>90 g</t>
        </is>
      </c>
      <c r="F49" s="0" t="inlineStr">
        <is>
          <t>Sardinas en aceite de oliva Didi</t>
        </is>
      </c>
      <c r="G49" s="0" t="inlineStr">
        <is>
          <t>2026-09-07</t>
        </is>
      </c>
      <c r="H49" s="0" t="inlineStr">
        <is>
          <t>2026-09-27</t>
        </is>
      </c>
      <c r="I49" s="0" t="inlineStr">
        <is>
          <t>Precio de folleto (oferta del 7 al 27 sept), ya caducado</t>
        </is>
      </c>
      <c r="J49" s="0" t="inlineStr">
        <is>
          <t>https://familycash.folle.to/images/familycash/familycash-weekly-ad.pdf</t>
        </is>
      </c>
    </row>
    <row r="50">
      <c r="A50" s="0" t="inlineStr">
        <is>
          <t>Café en cápsulas</t>
        </is>
      </c>
      <c r="B50" s="0" t="inlineStr">
        <is>
          <t>Family Cash</t>
        </is>
      </c>
      <c r="C50" s="0" t="n">
        <v>4.69</v>
      </c>
      <c r="D50" s="0" t="inlineStr">
        <is>
          <t>ud</t>
        </is>
      </c>
      <c r="E50" s="0" t="inlineStr">
        <is>
          <t>30 cápsulas</t>
        </is>
      </c>
      <c r="F50" s="0" t="inlineStr">
        <is>
          <t>Café Family compatible Dolce Gusto</t>
        </is>
      </c>
      <c r="G50" s="0" t="inlineStr">
        <is>
          <t>2026-09-07</t>
        </is>
      </c>
      <c r="H50" s="0" t="inlineStr">
        <is>
          <t>2026-09-27</t>
        </is>
      </c>
      <c r="I50" s="0" t="inlineStr">
        <is>
          <t>Precio de folleto (oferta del 7 al 27 sept), ya caducado</t>
        </is>
      </c>
      <c r="J50" s="0" t="inlineStr">
        <is>
          <t>https://familycash.folle.to/images/familycash/familycash-weekly-ad.pdf</t>
        </is>
      </c>
    </row>
    <row r="51">
      <c r="A51" s="0" t="inlineStr">
        <is>
          <t>Café molido</t>
        </is>
      </c>
      <c r="B51" s="0" t="inlineStr">
        <is>
          <t>Family Cash</t>
        </is>
      </c>
      <c r="C51" s="0" t="n">
        <v>3.29</v>
      </c>
      <c r="D51" s="0" t="inlineStr">
        <is>
          <t>ud</t>
        </is>
      </c>
      <c r="E51" s="0" t="inlineStr">
        <is>
          <t>250 g</t>
        </is>
      </c>
      <c r="F51" s="0" t="inlineStr">
        <is>
          <t>Café molido natural o mezcla Saimaza</t>
        </is>
      </c>
      <c r="G51" s="0" t="inlineStr">
        <is>
          <t>2026-09-07</t>
        </is>
      </c>
      <c r="H51" s="0" t="inlineStr">
        <is>
          <t>2026-09-27</t>
        </is>
      </c>
      <c r="I51" s="0" t="inlineStr">
        <is>
          <t>Precio de folleto (oferta del 7 al 27 sept), ya caducado</t>
        </is>
      </c>
      <c r="J51" s="0" t="inlineStr">
        <is>
          <t>https://familycash.folle.to/images/familycash/familycash-weekly-ad.pdf</t>
        </is>
      </c>
    </row>
    <row r="52">
      <c r="A52" s="0" t="inlineStr">
        <is>
          <t>Café soluble</t>
        </is>
      </c>
      <c r="B52" s="0" t="inlineStr">
        <is>
          <t>Family Cash</t>
        </is>
      </c>
      <c r="C52" s="0" t="n">
        <v>6.95</v>
      </c>
      <c r="D52" s="0" t="inlineStr">
        <is>
          <t>ud</t>
        </is>
      </c>
      <c r="E52" s="0" t="inlineStr">
        <is>
          <t>200 g</t>
        </is>
      </c>
      <c r="F52" s="0" t="inlineStr">
        <is>
          <t>Nescafé (surtido)</t>
        </is>
      </c>
      <c r="G52" s="0" t="inlineStr">
        <is>
          <t>2026-09-07</t>
        </is>
      </c>
      <c r="H52" s="0" t="inlineStr">
        <is>
          <t>2026-09-27</t>
        </is>
      </c>
      <c r="I52" s="0" t="inlineStr">
        <is>
          <t>Precio de folleto (oferta del 7 al 27 sept), ya caducado</t>
        </is>
      </c>
      <c r="J52" s="0" t="inlineStr">
        <is>
          <t>https://familycash.folle.to/images/familycash/familycash-weekly-ad.pdf</t>
        </is>
      </c>
    </row>
    <row r="53">
      <c r="A53" s="0" t="inlineStr">
        <is>
          <t>Cereales</t>
        </is>
      </c>
      <c r="B53" s="0" t="inlineStr">
        <is>
          <t>Family Cash</t>
        </is>
      </c>
      <c r="C53" s="0" t="n">
        <v>3.29</v>
      </c>
      <c r="D53" s="0" t="inlineStr">
        <is>
          <t>ud</t>
        </is>
      </c>
      <c r="E53" s="0" t="inlineStr">
        <is>
          <t>330 g</t>
        </is>
      </c>
      <c r="F53" s="0" t="inlineStr">
        <is>
          <t>Cereales Kellogg's (surtido)</t>
        </is>
      </c>
      <c r="G53" s="0" t="inlineStr">
        <is>
          <t>2026-09-07</t>
        </is>
      </c>
      <c r="H53" s="0" t="inlineStr">
        <is>
          <t>2026-09-27</t>
        </is>
      </c>
      <c r="I53" s="0" t="inlineStr">
        <is>
          <t>Precio de folleto (oferta del 7 al 27 sept), ya caducado</t>
        </is>
      </c>
      <c r="J53" s="0" t="inlineStr">
        <is>
          <t>https://familycash.folle.to/images/familycash/familycash-weekly-ad.pdf</t>
        </is>
      </c>
    </row>
    <row r="54">
      <c r="A54" s="0" t="inlineStr">
        <is>
          <t>Chocolate</t>
        </is>
      </c>
      <c r="B54" s="0" t="inlineStr">
        <is>
          <t>Family Cash</t>
        </is>
      </c>
      <c r="C54" s="0" t="n">
        <v>1.79</v>
      </c>
      <c r="D54" s="0" t="inlineStr">
        <is>
          <t>ud</t>
        </is>
      </c>
      <c r="E54" s="0" t="inlineStr">
        <is>
          <t>150 g</t>
        </is>
      </c>
      <c r="F54" s="0" t="inlineStr">
        <is>
          <t>Chocolate Clavileño (surtido)</t>
        </is>
      </c>
      <c r="G54" s="0" t="inlineStr">
        <is>
          <t>2026-09-07</t>
        </is>
      </c>
      <c r="H54" s="0" t="inlineStr">
        <is>
          <t>2026-09-27</t>
        </is>
      </c>
      <c r="I54" s="0" t="inlineStr">
        <is>
          <t>Precio de folleto (oferta del 7 al 27 sept), ya caducado</t>
        </is>
      </c>
      <c r="J54" s="0" t="inlineStr">
        <is>
          <t>https://familycash.folle.to/images/familycash/familycash-weekly-ad.pdf</t>
        </is>
      </c>
    </row>
    <row r="55">
      <c r="A55" s="0" t="inlineStr">
        <is>
          <t>Chucherías</t>
        </is>
      </c>
      <c r="B55" s="0" t="inlineStr">
        <is>
          <t>Family Cash</t>
        </is>
      </c>
      <c r="C55" s="0" t="n">
        <v>3.15</v>
      </c>
      <c r="D55" s="0" t="inlineStr">
        <is>
          <t>ud</t>
        </is>
      </c>
      <c r="E55" s="0" t="inlineStr">
        <is>
          <t>1 kg</t>
        </is>
      </c>
      <c r="F55" s="0" t="inlineStr">
        <is>
          <t>Gominolas Damel (surtido)</t>
        </is>
      </c>
      <c r="G55" s="0" t="inlineStr">
        <is>
          <t>2026-09-07</t>
        </is>
      </c>
      <c r="H55" s="0" t="inlineStr">
        <is>
          <t>2026-09-27</t>
        </is>
      </c>
      <c r="I55" s="0" t="inlineStr">
        <is>
          <t>Precio de folleto (oferta del 7 al 27 sept), ya caducado</t>
        </is>
      </c>
      <c r="J55" s="0" t="inlineStr">
        <is>
          <t>https://familycash.folle.to/images/familycash/familycash-weekly-ad.pdf</t>
        </is>
      </c>
    </row>
    <row r="56">
      <c r="A56" s="0" t="inlineStr">
        <is>
          <t>Frutos secos</t>
        </is>
      </c>
      <c r="B56" s="0" t="inlineStr">
        <is>
          <t>Family Cash</t>
        </is>
      </c>
      <c r="C56" s="0" t="n">
        <v>1.89</v>
      </c>
      <c r="D56" s="0" t="inlineStr">
        <is>
          <t>ud</t>
        </is>
      </c>
      <c r="E56" s="0" t="inlineStr">
        <is>
          <t>175 g</t>
        </is>
      </c>
      <c r="F56" s="0" t="inlineStr">
        <is>
          <t>Nuez mitades</t>
        </is>
      </c>
      <c r="G56" s="0" t="inlineStr">
        <is>
          <t>2026-09-07</t>
        </is>
      </c>
      <c r="H56" s="0" t="inlineStr">
        <is>
          <t>2026-09-27</t>
        </is>
      </c>
      <c r="I56" s="0" t="inlineStr">
        <is>
          <t>Precio de folleto (oferta del 7 al 27 sept), ya caducado</t>
        </is>
      </c>
      <c r="J56" s="0" t="inlineStr">
        <is>
          <t>https://familycash.folle.to/images/familycash/familycash-weekly-ad.pdf</t>
        </is>
      </c>
    </row>
    <row r="57">
      <c r="A57" s="0" t="inlineStr">
        <is>
          <t>Galletas</t>
        </is>
      </c>
      <c r="B57" s="0" t="inlineStr">
        <is>
          <t>Family Cash</t>
        </is>
      </c>
      <c r="C57" s="0" t="n">
        <v>1.69</v>
      </c>
      <c r="D57" s="0" t="inlineStr">
        <is>
          <t>ud</t>
        </is>
      </c>
      <c r="E57" s="0" t="inlineStr">
        <is>
          <t>6 x 200 g</t>
        </is>
      </c>
      <c r="F57" s="0" t="inlineStr">
        <is>
          <t>Galletas Family Biscuits (surtido)</t>
        </is>
      </c>
      <c r="G57" s="0" t="inlineStr">
        <is>
          <t>2026-09-07</t>
        </is>
      </c>
      <c r="H57" s="0" t="inlineStr">
        <is>
          <t>2026-09-27</t>
        </is>
      </c>
      <c r="I57" s="0" t="inlineStr">
        <is>
          <t>Precio de folleto (oferta del 7 al 27 sept), ya caducado</t>
        </is>
      </c>
      <c r="J57" s="0" t="inlineStr">
        <is>
          <t>https://familycash.folle.to/images/familycash/familycash-weekly-ad.pdf</t>
        </is>
      </c>
    </row>
    <row r="58">
      <c r="A58" s="0" t="inlineStr">
        <is>
          <t>Mermelada</t>
        </is>
      </c>
      <c r="B58" s="0" t="inlineStr">
        <is>
          <t>Family Cash</t>
        </is>
      </c>
      <c r="C58" s="0" t="n">
        <v>1.59</v>
      </c>
      <c r="D58" s="0" t="inlineStr">
        <is>
          <t>ud</t>
        </is>
      </c>
      <c r="E58" s="0" t="inlineStr">
        <is>
          <t>240 g</t>
        </is>
      </c>
      <c r="F58" s="0" t="inlineStr">
        <is>
          <t>Mermelada Antiu Xixona (surtido)</t>
        </is>
      </c>
      <c r="G58" s="0" t="inlineStr">
        <is>
          <t>2026-09-07</t>
        </is>
      </c>
      <c r="H58" s="0" t="inlineStr">
        <is>
          <t>2026-09-27</t>
        </is>
      </c>
      <c r="I58" s="0" t="inlineStr">
        <is>
          <t>Precio de folleto (oferta del 7 al 27 sept), ya caducado</t>
        </is>
      </c>
      <c r="J58" s="0" t="inlineStr">
        <is>
          <t>https://familycash.folle.to/images/familycash/familycash-weekly-ad.pdf</t>
        </is>
      </c>
    </row>
    <row r="59">
      <c r="A59" s="0" t="inlineStr">
        <is>
          <t>Champiñones</t>
        </is>
      </c>
      <c r="B59" s="0" t="inlineStr">
        <is>
          <t>Family Cash</t>
        </is>
      </c>
      <c r="C59" s="0" t="n">
        <v>0.99</v>
      </c>
      <c r="D59" s="0" t="inlineStr">
        <is>
          <t>ud</t>
        </is>
      </c>
      <c r="E59" s="0" t="inlineStr">
        <is>
          <t>300 g</t>
        </is>
      </c>
      <c r="F59" s="0" t="inlineStr">
        <is>
          <t>Champiñón entero, bandeja</t>
        </is>
      </c>
      <c r="G59" s="0" t="inlineStr">
        <is>
          <t>2026-09-07</t>
        </is>
      </c>
      <c r="H59" s="0" t="inlineStr">
        <is>
          <t>2026-09-27</t>
        </is>
      </c>
      <c r="I59" s="0" t="inlineStr">
        <is>
          <t>Precio de folleto (oferta del 7 al 27 sept), ya caducado</t>
        </is>
      </c>
      <c r="J59" s="0" t="inlineStr">
        <is>
          <t>https://familycash.folle.to/images/familycash/familycash-weekly-ad.pdf</t>
        </is>
      </c>
    </row>
    <row r="60">
      <c r="A60" s="0" t="inlineStr">
        <is>
          <t>Ensalada en bolsa</t>
        </is>
      </c>
      <c r="B60" s="0" t="inlineStr">
        <is>
          <t>Family Cash</t>
        </is>
      </c>
      <c r="C60" s="0" t="n">
        <v>0.6899999999999999</v>
      </c>
      <c r="D60" s="0" t="inlineStr">
        <is>
          <t>ud</t>
        </is>
      </c>
      <c r="E60" s="0" t="inlineStr">
        <is>
          <t>250 g</t>
        </is>
      </c>
      <c r="F60" s="0" t="inlineStr">
        <is>
          <t>Ensalada 4 estaciones Family</t>
        </is>
      </c>
      <c r="G60" s="0" t="inlineStr">
        <is>
          <t>2026-09-07</t>
        </is>
      </c>
      <c r="H60" s="0" t="inlineStr">
        <is>
          <t>2026-09-27</t>
        </is>
      </c>
      <c r="I60" s="0" t="inlineStr">
        <is>
          <t>Precio de folleto (oferta del 7 al 27 sept), ya caducado</t>
        </is>
      </c>
      <c r="J60" s="0" t="inlineStr">
        <is>
          <t>https://familycash.folle.to/images/familycash/familycash-weekly-ad.pdf</t>
        </is>
      </c>
    </row>
    <row r="61">
      <c r="A61" s="0" t="inlineStr">
        <is>
          <t>Patata</t>
        </is>
      </c>
      <c r="B61" s="0" t="inlineStr">
        <is>
          <t>Family Cash</t>
        </is>
      </c>
      <c r="C61" s="0" t="n">
        <v>3.99</v>
      </c>
      <c r="D61" s="0" t="inlineStr">
        <is>
          <t>ud</t>
        </is>
      </c>
      <c r="E61" s="0" t="inlineStr">
        <is>
          <t>10 kg</t>
        </is>
      </c>
      <c r="F61" s="0" t="inlineStr">
        <is>
          <t>Patatas, saco</t>
        </is>
      </c>
      <c r="G61" s="0" t="inlineStr">
        <is>
          <t>2026-09-07</t>
        </is>
      </c>
      <c r="H61" s="0" t="inlineStr">
        <is>
          <t>2026-09-27</t>
        </is>
      </c>
      <c r="I61" s="0" t="inlineStr">
        <is>
          <t>Precio de folleto (oferta del 7 al 27 sept), ya caducado</t>
        </is>
      </c>
      <c r="J61" s="0" t="inlineStr">
        <is>
          <t>https://familycash.folle.to/images/familycash/familycash-weekly-ad.pdf</t>
        </is>
      </c>
    </row>
    <row r="62">
      <c r="A62" s="0" t="inlineStr">
        <is>
          <t>Tomate</t>
        </is>
      </c>
      <c r="B62" s="0" t="inlineStr">
        <is>
          <t>Family Cash</t>
        </is>
      </c>
      <c r="C62" s="0" t="n">
        <v>1.69</v>
      </c>
      <c r="D62" s="0" t="inlineStr">
        <is>
          <t>kg</t>
        </is>
      </c>
      <c r="E62" s="0" t="inlineStr"/>
      <c r="F62" s="0" t="inlineStr">
        <is>
          <t>Tomate pera a granel</t>
        </is>
      </c>
      <c r="G62" s="0" t="inlineStr">
        <is>
          <t>2026-09-07</t>
        </is>
      </c>
      <c r="H62" s="0" t="inlineStr">
        <is>
          <t>2026-09-27</t>
        </is>
      </c>
      <c r="I62" s="0" t="inlineStr">
        <is>
          <t>Precio de folleto (oferta del 7 al 27 sept), ya caducado</t>
        </is>
      </c>
      <c r="J62" s="0" t="inlineStr">
        <is>
          <t>https://familycash.folle.to/images/familycash/familycash-weekly-ad.pdf</t>
        </is>
      </c>
    </row>
    <row r="63">
      <c r="A63" s="0" t="inlineStr">
        <is>
          <t>Uvas</t>
        </is>
      </c>
      <c r="B63" s="0" t="inlineStr">
        <is>
          <t>Family Cash</t>
        </is>
      </c>
      <c r="C63" s="0" t="n">
        <v>1.89</v>
      </c>
      <c r="D63" s="0" t="inlineStr">
        <is>
          <t>kg</t>
        </is>
      </c>
      <c r="E63" s="0" t="inlineStr"/>
      <c r="F63" s="0" t="inlineStr">
        <is>
          <t>Uva blanca a granel</t>
        </is>
      </c>
      <c r="G63" s="0" t="inlineStr">
        <is>
          <t>2026-09-07</t>
        </is>
      </c>
      <c r="H63" s="0" t="inlineStr">
        <is>
          <t>2026-09-27</t>
        </is>
      </c>
      <c r="I63" s="0" t="inlineStr">
        <is>
          <t>Precio de folleto (oferta del 7 al 27 sept), ya caducado</t>
        </is>
      </c>
      <c r="J63" s="0" t="inlineStr">
        <is>
          <t>https://familycash.folle.to/images/familycash/familycash-weekly-ad.pdf</t>
        </is>
      </c>
    </row>
    <row r="64">
      <c r="A64" s="0" t="inlineStr">
        <is>
          <t>Zanahoria</t>
        </is>
      </c>
      <c r="B64" s="0" t="inlineStr">
        <is>
          <t>Family Cash</t>
        </is>
      </c>
      <c r="C64" s="0" t="n">
        <v>0.99</v>
      </c>
      <c r="D64" s="0" t="inlineStr">
        <is>
          <t>ud</t>
        </is>
      </c>
      <c r="E64" s="0" t="inlineStr">
        <is>
          <t>1 kg</t>
        </is>
      </c>
      <c r="F64" s="0" t="inlineStr">
        <is>
          <t>Zanahoria, bolsa</t>
        </is>
      </c>
      <c r="G64" s="0" t="inlineStr">
        <is>
          <t>2026-09-07</t>
        </is>
      </c>
      <c r="H64" s="0" t="inlineStr">
        <is>
          <t>2026-09-27</t>
        </is>
      </c>
      <c r="I64" s="0" t="inlineStr">
        <is>
          <t>Precio de folleto (oferta del 7 al 27 sept), ya caducado</t>
        </is>
      </c>
      <c r="J64" s="0" t="inlineStr">
        <is>
          <t>https://familycash.folle.to/images/familycash/familycash-weekly-ad.pdf</t>
        </is>
      </c>
    </row>
    <row r="65">
      <c r="A65" s="0" t="inlineStr">
        <is>
          <t>Champú</t>
        </is>
      </c>
      <c r="B65" s="0" t="inlineStr">
        <is>
          <t>Family Cash</t>
        </is>
      </c>
      <c r="C65" s="0" t="n">
        <v>6.49</v>
      </c>
      <c r="D65" s="0" t="inlineStr">
        <is>
          <t>ud</t>
        </is>
      </c>
      <c r="E65" s="0" t="inlineStr">
        <is>
          <t>625 ml</t>
        </is>
      </c>
      <c r="F65" s="0" t="inlineStr">
        <is>
          <t>Champú Pantene</t>
        </is>
      </c>
      <c r="G65" s="0" t="inlineStr">
        <is>
          <t>2026-09-07</t>
        </is>
      </c>
      <c r="H65" s="0" t="inlineStr">
        <is>
          <t>2026-09-27</t>
        </is>
      </c>
      <c r="I65" s="0" t="inlineStr">
        <is>
          <t>Precio de folleto (oferta del 7 al 27 sept), ya caducado</t>
        </is>
      </c>
      <c r="J65" s="0" t="inlineStr">
        <is>
          <t>https://familycash.folle.to/images/familycash/familycash-weekly-ad.pdf</t>
        </is>
      </c>
    </row>
    <row r="66">
      <c r="A66" s="0" t="inlineStr">
        <is>
          <t>Desodorante</t>
        </is>
      </c>
      <c r="B66" s="0" t="inlineStr">
        <is>
          <t>Family Cash</t>
        </is>
      </c>
      <c r="C66" s="0" t="n">
        <v>3.99</v>
      </c>
      <c r="D66" s="0" t="inlineStr">
        <is>
          <t>ud</t>
        </is>
      </c>
      <c r="E66" s="0" t="inlineStr">
        <is>
          <t>2 x 200 ml</t>
        </is>
      </c>
      <c r="F66" s="0" t="inlineStr">
        <is>
          <t>Desodorante spray Nivea Black &amp; White</t>
        </is>
      </c>
      <c r="G66" s="0" t="inlineStr">
        <is>
          <t>2026-09-07</t>
        </is>
      </c>
      <c r="H66" s="0" t="inlineStr">
        <is>
          <t>2026-09-27</t>
        </is>
      </c>
      <c r="I66" s="0" t="inlineStr">
        <is>
          <t>Precio de folleto (oferta del 7 al 27 sept), ya caducado</t>
        </is>
      </c>
      <c r="J66" s="0" t="inlineStr">
        <is>
          <t>https://familycash.folle.to/images/familycash/familycash-weekly-ad.pdf</t>
        </is>
      </c>
    </row>
    <row r="67">
      <c r="A67" s="0" t="inlineStr">
        <is>
          <t>Gel de ducha</t>
        </is>
      </c>
      <c r="B67" s="0" t="inlineStr">
        <is>
          <t>Family Cash</t>
        </is>
      </c>
      <c r="C67" s="0" t="n">
        <v>1.15</v>
      </c>
      <c r="D67" s="0" t="inlineStr">
        <is>
          <t>ud</t>
        </is>
      </c>
      <c r="E67" s="0" t="inlineStr">
        <is>
          <t>1250 ml</t>
        </is>
      </c>
      <c r="F67" s="0" t="inlineStr">
        <is>
          <t>Gel Family Care</t>
        </is>
      </c>
      <c r="G67" s="0" t="inlineStr">
        <is>
          <t>2026-09-07</t>
        </is>
      </c>
      <c r="H67" s="0" t="inlineStr">
        <is>
          <t>2026-09-27</t>
        </is>
      </c>
      <c r="I67" s="0" t="inlineStr">
        <is>
          <t>Precio de folleto (oferta del 7 al 27 sept), ya caducado</t>
        </is>
      </c>
      <c r="J67" s="0" t="inlineStr">
        <is>
          <t>https://familycash.folle.to/images/familycash/familycash-weekly-ad.pdf</t>
        </is>
      </c>
    </row>
    <row r="68">
      <c r="A68" s="0" t="inlineStr">
        <is>
          <t>Jabón de manos</t>
        </is>
      </c>
      <c r="B68" s="0" t="inlineStr">
        <is>
          <t>Family Cash</t>
        </is>
      </c>
      <c r="C68" s="0" t="n">
        <v>0.79</v>
      </c>
      <c r="D68" s="0" t="inlineStr">
        <is>
          <t>ud</t>
        </is>
      </c>
      <c r="E68" s="0" t="inlineStr">
        <is>
          <t>500 ml</t>
        </is>
      </c>
      <c r="F68" s="0" t="inlineStr">
        <is>
          <t>Jabón de manos (surtido)</t>
        </is>
      </c>
      <c r="G68" s="0" t="inlineStr">
        <is>
          <t>2026-09-07</t>
        </is>
      </c>
      <c r="H68" s="0" t="inlineStr">
        <is>
          <t>2026-09-27</t>
        </is>
      </c>
      <c r="I68" s="0" t="inlineStr">
        <is>
          <t>Precio de folleto (oferta del 7 al 27 sept), ya caducado</t>
        </is>
      </c>
      <c r="J68" s="0" t="inlineStr">
        <is>
          <t>https://familycash.folle.to/images/familycash/familycash-weekly-ad.pdf</t>
        </is>
      </c>
    </row>
    <row r="69">
      <c r="A69" s="0" t="inlineStr">
        <is>
          <t>Pasta de dientes</t>
        </is>
      </c>
      <c r="B69" s="0" t="inlineStr">
        <is>
          <t>Family Cash</t>
        </is>
      </c>
      <c r="C69" s="0" t="n">
        <v>3.99</v>
      </c>
      <c r="D69" s="0" t="inlineStr">
        <is>
          <t>ud</t>
        </is>
      </c>
      <c r="E69" s="0" t="inlineStr">
        <is>
          <t>75 ml</t>
        </is>
      </c>
      <c r="F69" s="0" t="inlineStr">
        <is>
          <t>Dentífrico Parodontax</t>
        </is>
      </c>
      <c r="G69" s="0" t="inlineStr">
        <is>
          <t>2026-09-07</t>
        </is>
      </c>
      <c r="H69" s="0" t="inlineStr">
        <is>
          <t>2026-09-27</t>
        </is>
      </c>
      <c r="I69" s="0" t="inlineStr">
        <is>
          <t>Precio de folleto (oferta del 7 al 27 sept), ya caducado</t>
        </is>
      </c>
      <c r="J69" s="0" t="inlineStr">
        <is>
          <t>https://familycash.folle.to/images/familycash/familycash-weekly-ad.pdf</t>
        </is>
      </c>
    </row>
    <row r="70">
      <c r="A70" s="0" t="inlineStr">
        <is>
          <t>Alfombra</t>
        </is>
      </c>
      <c r="B70" s="0" t="inlineStr">
        <is>
          <t>Family Cash</t>
        </is>
      </c>
      <c r="C70" s="0" t="n">
        <v>2.45</v>
      </c>
      <c r="D70" s="0" t="inlineStr">
        <is>
          <t>ud</t>
        </is>
      </c>
      <c r="E70" s="0" t="inlineStr">
        <is>
          <t>1 ud</t>
        </is>
      </c>
      <c r="F70" s="0" t="inlineStr">
        <is>
          <t>Alfombra interior poliéster 40 x 60 cm</t>
        </is>
      </c>
      <c r="G70" s="0" t="inlineStr">
        <is>
          <t>2026-09-07</t>
        </is>
      </c>
      <c r="H70" s="0" t="inlineStr">
        <is>
          <t>2026-09-27</t>
        </is>
      </c>
      <c r="I70" s="0" t="inlineStr">
        <is>
          <t>Precio de folleto (oferta del 7 al 27 sept), ya caducado</t>
        </is>
      </c>
      <c r="J70" s="0" t="inlineStr">
        <is>
          <t>https://familycash.folle.to/images/familycash/familycash-weekly-ad.pdf</t>
        </is>
      </c>
    </row>
    <row r="71">
      <c r="A71" s="0" t="inlineStr">
        <is>
          <t>Almohada</t>
        </is>
      </c>
      <c r="B71" s="0" t="inlineStr">
        <is>
          <t>Family Cash</t>
        </is>
      </c>
      <c r="C71" s="0" t="n">
        <v>19.95</v>
      </c>
      <c r="D71" s="0" t="inlineStr">
        <is>
          <t>ud</t>
        </is>
      </c>
      <c r="E71" s="0" t="inlineStr">
        <is>
          <t>1 ud</t>
        </is>
      </c>
      <c r="F71" s="0" t="inlineStr">
        <is>
          <t>Almohada viscoelástica 70 cm</t>
        </is>
      </c>
      <c r="G71" s="0" t="inlineStr">
        <is>
          <t>2026-09-07</t>
        </is>
      </c>
      <c r="H71" s="0" t="inlineStr">
        <is>
          <t>2026-09-27</t>
        </is>
      </c>
      <c r="I71" s="0" t="inlineStr">
        <is>
          <t>Precio de folleto (oferta del 7 al 27 sept), ya caducado; Precio desde, según tamaño</t>
        </is>
      </c>
      <c r="J71" s="0" t="inlineStr">
        <is>
          <t>https://familycash.folle.to/images/familycash/familycash-weekly-ad.pdf</t>
        </is>
      </c>
    </row>
    <row r="72">
      <c r="A72" s="0" t="inlineStr">
        <is>
          <t>Sartén</t>
        </is>
      </c>
      <c r="B72" s="0" t="inlineStr">
        <is>
          <t>Family Cash</t>
        </is>
      </c>
      <c r="C72" s="0" t="n">
        <v>5.95</v>
      </c>
      <c r="D72" s="0" t="inlineStr">
        <is>
          <t>ud</t>
        </is>
      </c>
      <c r="E72" s="0" t="inlineStr">
        <is>
          <t>1 ud</t>
        </is>
      </c>
      <c r="F72" s="0" t="inlineStr">
        <is>
          <t>Sartén aluminio prensado Tierra 16 cm</t>
        </is>
      </c>
      <c r="G72" s="0" t="inlineStr">
        <is>
          <t>2026-09-07</t>
        </is>
      </c>
      <c r="H72" s="0" t="inlineStr">
        <is>
          <t>2026-09-27</t>
        </is>
      </c>
      <c r="I72" s="0" t="inlineStr">
        <is>
          <t>Precio de folleto (oferta del 7 al 27 sept), ya caducado; Precio desde, según tamaño</t>
        </is>
      </c>
      <c r="J72" s="0" t="inlineStr">
        <is>
          <t>https://familycash.folle.to/images/familycash/familycash-weekly-ad.pdf</t>
        </is>
      </c>
    </row>
    <row r="73">
      <c r="A73" s="0" t="inlineStr">
        <is>
          <t>Sábanas</t>
        </is>
      </c>
      <c r="B73" s="0" t="inlineStr">
        <is>
          <t>Family Cash</t>
        </is>
      </c>
      <c r="C73" s="0" t="n">
        <v>3.45</v>
      </c>
      <c r="D73" s="0" t="inlineStr">
        <is>
          <t>ud</t>
        </is>
      </c>
      <c r="E73" s="0" t="inlineStr">
        <is>
          <t>1 ud</t>
        </is>
      </c>
      <c r="F73" s="0" t="inlineStr">
        <is>
          <t>Bajera microfibra 90 cm</t>
        </is>
      </c>
      <c r="G73" s="0" t="inlineStr">
        <is>
          <t>2026-09-07</t>
        </is>
      </c>
      <c r="H73" s="0" t="inlineStr">
        <is>
          <t>2026-09-27</t>
        </is>
      </c>
      <c r="I73" s="0" t="inlineStr">
        <is>
          <t>Precio de folleto (oferta del 7 al 27 sept), ya caducado; Precio desde, según tamaño</t>
        </is>
      </c>
      <c r="J73" s="0" t="inlineStr">
        <is>
          <t>https://familycash.folle.to/images/familycash/familycash-weekly-ad.pdf</t>
        </is>
      </c>
    </row>
    <row r="74">
      <c r="A74" s="0" t="inlineStr">
        <is>
          <t>Toallas</t>
        </is>
      </c>
      <c r="B74" s="0" t="inlineStr">
        <is>
          <t>Family Cash</t>
        </is>
      </c>
      <c r="C74" s="0" t="n">
        <v>2.75</v>
      </c>
      <c r="D74" s="0" t="inlineStr">
        <is>
          <t>ud</t>
        </is>
      </c>
      <c r="E74" s="0" t="inlineStr">
        <is>
          <t>1 ud</t>
        </is>
      </c>
      <c r="F74" s="0" t="inlineStr">
        <is>
          <t>Toalla 100% algodón</t>
        </is>
      </c>
      <c r="G74" s="0" t="inlineStr">
        <is>
          <t>2026-09-07</t>
        </is>
      </c>
      <c r="H74" s="0" t="inlineStr">
        <is>
          <t>2026-09-27</t>
        </is>
      </c>
      <c r="I74" s="0" t="inlineStr">
        <is>
          <t>Precio de folleto (oferta del 7 al 27 sept), ya caducado; Precio desde, según tamaño</t>
        </is>
      </c>
      <c r="J74" s="0" t="inlineStr">
        <is>
          <t>https://familycash.folle.to/images/familycash/familycash-weekly-ad.pdf</t>
        </is>
      </c>
    </row>
    <row r="75">
      <c r="A75" s="0" t="inlineStr">
        <is>
          <t>Vasos</t>
        </is>
      </c>
      <c r="B75" s="0" t="inlineStr">
        <is>
          <t>Family Cash</t>
        </is>
      </c>
      <c r="C75" s="0" t="n">
        <v>1.95</v>
      </c>
      <c r="D75" s="0" t="inlineStr">
        <is>
          <t>ud</t>
        </is>
      </c>
      <c r="E75" s="0" t="inlineStr">
        <is>
          <t>6 ud</t>
        </is>
      </c>
      <c r="F75" s="0" t="inlineStr">
        <is>
          <t>Vaso Thian Greencook</t>
        </is>
      </c>
      <c r="G75" s="0" t="inlineStr">
        <is>
          <t>2026-09-07</t>
        </is>
      </c>
      <c r="H75" s="0" t="inlineStr">
        <is>
          <t>2026-09-27</t>
        </is>
      </c>
      <c r="I75" s="0" t="inlineStr">
        <is>
          <t>Precio de folleto (oferta del 7 al 27 sept), ya caducado</t>
        </is>
      </c>
      <c r="J75" s="0" t="inlineStr">
        <is>
          <t>https://familycash.folle.to/images/familycash/familycash-weekly-ad.pdf</t>
        </is>
      </c>
    </row>
    <row r="76">
      <c r="A76" s="0" t="inlineStr">
        <is>
          <t>Detergente</t>
        </is>
      </c>
      <c r="B76" s="0" t="inlineStr">
        <is>
          <t>Family Cash</t>
        </is>
      </c>
      <c r="C76" s="0" t="n">
        <v>7.49</v>
      </c>
      <c r="D76" s="0" t="inlineStr">
        <is>
          <t>ud</t>
        </is>
      </c>
      <c r="E76" s="0" t="inlineStr">
        <is>
          <t>46 lavados</t>
        </is>
      </c>
      <c r="F76" s="0" t="inlineStr">
        <is>
          <t>Lavandera cápsulas 4 en 1</t>
        </is>
      </c>
      <c r="G76" s="0" t="inlineStr">
        <is>
          <t>2026-09-07</t>
        </is>
      </c>
      <c r="H76" s="0" t="inlineStr">
        <is>
          <t>2026-09-27</t>
        </is>
      </c>
      <c r="I76" s="0" t="inlineStr">
        <is>
          <t>Precio de folleto (oferta del 7 al 27 sept), ya caducado</t>
        </is>
      </c>
      <c r="J76" s="0" t="inlineStr">
        <is>
          <t>https://familycash.folle.to/images/familycash/familycash-weekly-ad.pdf</t>
        </is>
      </c>
    </row>
    <row r="77">
      <c r="A77" s="0" t="inlineStr">
        <is>
          <t>Friegasuelos</t>
        </is>
      </c>
      <c r="B77" s="0" t="inlineStr">
        <is>
          <t>Family Cash</t>
        </is>
      </c>
      <c r="C77" s="0" t="n">
        <v>0.89</v>
      </c>
      <c r="D77" s="0" t="inlineStr">
        <is>
          <t>ud</t>
        </is>
      </c>
      <c r="E77" s="0" t="inlineStr">
        <is>
          <t>1 l</t>
        </is>
      </c>
      <c r="F77" s="0" t="inlineStr">
        <is>
          <t>Friegasuelos Mister Brillo</t>
        </is>
      </c>
      <c r="G77" s="0" t="inlineStr">
        <is>
          <t>2026-09-07</t>
        </is>
      </c>
      <c r="H77" s="0" t="inlineStr">
        <is>
          <t>2026-09-27</t>
        </is>
      </c>
      <c r="I77" s="0" t="inlineStr">
        <is>
          <t>Precio de folleto (oferta del 7 al 27 sept), ya caducado</t>
        </is>
      </c>
      <c r="J77" s="0" t="inlineStr">
        <is>
          <t>https://familycash.folle.to/images/familycash/familycash-weekly-ad.pdf</t>
        </is>
      </c>
    </row>
    <row r="78">
      <c r="A78" s="0" t="inlineStr">
        <is>
          <t>Lavavajillas a mano</t>
        </is>
      </c>
      <c r="B78" s="0" t="inlineStr">
        <is>
          <t>Family Cash</t>
        </is>
      </c>
      <c r="C78" s="0" t="n">
        <v>1.09</v>
      </c>
      <c r="D78" s="0" t="inlineStr">
        <is>
          <t>ud</t>
        </is>
      </c>
      <c r="E78" s="0" t="inlineStr">
        <is>
          <t>1,5 l</t>
        </is>
      </c>
      <c r="F78" s="0" t="inlineStr">
        <is>
          <t>Lavavajillas limón Tejón</t>
        </is>
      </c>
      <c r="G78" s="0" t="inlineStr">
        <is>
          <t>2026-09-07</t>
        </is>
      </c>
      <c r="H78" s="0" t="inlineStr">
        <is>
          <t>2026-09-27</t>
        </is>
      </c>
      <c r="I78" s="0" t="inlineStr">
        <is>
          <t>Precio de folleto (oferta del 7 al 27 sept), ya caducado</t>
        </is>
      </c>
      <c r="J78" s="0" t="inlineStr">
        <is>
          <t>https://familycash.folle.to/images/familycash/familycash-weekly-ad.pdf</t>
        </is>
      </c>
    </row>
    <row r="79">
      <c r="A79" s="0" t="inlineStr">
        <is>
          <t>Suavizante</t>
        </is>
      </c>
      <c r="B79" s="0" t="inlineStr">
        <is>
          <t>Family Cash</t>
        </is>
      </c>
      <c r="C79" s="0" t="n">
        <v>1.79</v>
      </c>
      <c r="D79" s="0" t="inlineStr">
        <is>
          <t>ud</t>
        </is>
      </c>
      <c r="E79" s="0" t="inlineStr">
        <is>
          <t>50 lavados</t>
        </is>
      </c>
      <c r="F79" s="0" t="inlineStr">
        <is>
          <t>Suavizante Disiclin</t>
        </is>
      </c>
      <c r="G79" s="0" t="inlineStr">
        <is>
          <t>2026-09-07</t>
        </is>
      </c>
      <c r="H79" s="0" t="inlineStr">
        <is>
          <t>2026-09-27</t>
        </is>
      </c>
      <c r="I79" s="0" t="inlineStr">
        <is>
          <t>Precio de folleto (oferta del 7 al 27 sept), ya caducado</t>
        </is>
      </c>
      <c r="J79" s="0" t="inlineStr">
        <is>
          <t>https://familycash.folle.to/images/familycash/familycash-weekly-ad.pdf</t>
        </is>
      </c>
    </row>
    <row r="80">
      <c r="A80" s="0" t="inlineStr">
        <is>
          <t>Batidos</t>
        </is>
      </c>
      <c r="B80" s="0" t="inlineStr">
        <is>
          <t>Family Cash</t>
        </is>
      </c>
      <c r="C80" s="0" t="n">
        <v>2.45</v>
      </c>
      <c r="D80" s="0" t="inlineStr">
        <is>
          <t>ud</t>
        </is>
      </c>
      <c r="E80" s="0" t="inlineStr">
        <is>
          <t>6 x 200 ml</t>
        </is>
      </c>
      <c r="F80" s="0" t="inlineStr">
        <is>
          <t>Batido Puleva (surtido)</t>
        </is>
      </c>
      <c r="G80" s="0" t="inlineStr">
        <is>
          <t>2026-09-07</t>
        </is>
      </c>
      <c r="H80" s="0" t="inlineStr">
        <is>
          <t>2026-09-27</t>
        </is>
      </c>
      <c r="I80" s="0" t="inlineStr">
        <is>
          <t>Precio de folleto (oferta del 7 al 27 sept), ya caducado</t>
        </is>
      </c>
      <c r="J80" s="0" t="inlineStr">
        <is>
          <t>https://familycash.folle.to/images/familycash/familycash-weekly-ad.pdf</t>
        </is>
      </c>
    </row>
    <row r="81">
      <c r="A81" s="0" t="inlineStr">
        <is>
          <t>Bebida de avena</t>
        </is>
      </c>
      <c r="B81" s="0" t="inlineStr">
        <is>
          <t>Family Cash</t>
        </is>
      </c>
      <c r="C81" s="0" t="n">
        <v>0.95</v>
      </c>
      <c r="D81" s="0" t="inlineStr">
        <is>
          <t>ud</t>
        </is>
      </c>
      <c r="E81" s="0" t="inlineStr">
        <is>
          <t>1 l</t>
        </is>
      </c>
      <c r="F81" s="0" t="inlineStr">
        <is>
          <t>Bebida de avena Alpro</t>
        </is>
      </c>
      <c r="G81" s="0" t="inlineStr">
        <is>
          <t>2026-09-07</t>
        </is>
      </c>
      <c r="H81" s="0" t="inlineStr">
        <is>
          <t>2026-09-27</t>
        </is>
      </c>
      <c r="I81" s="0" t="inlineStr">
        <is>
          <t>Precio de folleto (oferta del 7 al 27 sept), ya caducado</t>
        </is>
      </c>
      <c r="J81" s="0" t="inlineStr">
        <is>
          <t>https://familycash.folle.to/images/familycash/familycash-weekly-ad.pdf</t>
        </is>
      </c>
    </row>
    <row r="82">
      <c r="A82" s="0" t="inlineStr">
        <is>
          <t>Bebida de soja</t>
        </is>
      </c>
      <c r="B82" s="0" t="inlineStr">
        <is>
          <t>Family Cash</t>
        </is>
      </c>
      <c r="C82" s="0" t="n">
        <v>0.59</v>
      </c>
      <c r="D82" s="0" t="inlineStr">
        <is>
          <t>ud</t>
        </is>
      </c>
      <c r="E82" s="0" t="inlineStr">
        <is>
          <t>1 l</t>
        </is>
      </c>
      <c r="F82" s="0" t="inlineStr">
        <is>
          <t>Bebida de soja Family</t>
        </is>
      </c>
      <c r="G82" s="0" t="inlineStr">
        <is>
          <t>2026-09-07</t>
        </is>
      </c>
      <c r="H82" s="0" t="inlineStr">
        <is>
          <t>2026-09-27</t>
        </is>
      </c>
      <c r="I82" s="0" t="inlineStr">
        <is>
          <t>Precio de folleto (oferta del 7 al 27 sept), ya caducado</t>
        </is>
      </c>
      <c r="J82" s="0" t="inlineStr">
        <is>
          <t>https://familycash.folle.to/images/familycash/familycash-weekly-ad.pdf</t>
        </is>
      </c>
    </row>
    <row r="83">
      <c r="A83" s="0" t="inlineStr">
        <is>
          <t>Huevos</t>
        </is>
      </c>
      <c r="B83" s="0" t="inlineStr">
        <is>
          <t>Family Cash</t>
        </is>
      </c>
      <c r="C83" s="0" t="n">
        <v>2.29</v>
      </c>
      <c r="D83" s="0" t="inlineStr">
        <is>
          <t>ud</t>
        </is>
      </c>
      <c r="E83" s="0" t="inlineStr">
        <is>
          <t>12 ud</t>
        </is>
      </c>
      <c r="F83" s="0" t="inlineStr">
        <is>
          <t>Huevos M Ovocity (docena)</t>
        </is>
      </c>
      <c r="G83" s="0" t="inlineStr">
        <is>
          <t>2026-09-07</t>
        </is>
      </c>
      <c r="H83" s="0" t="inlineStr">
        <is>
          <t>2026-09-27</t>
        </is>
      </c>
      <c r="I83" s="0" t="inlineStr">
        <is>
          <t>Precio de folleto (oferta del 7 al 27 sept), ya caducado</t>
        </is>
      </c>
      <c r="J83" s="0" t="inlineStr">
        <is>
          <t>https://familycash.folle.to/images/familycash/familycash-weekly-ad.pdf</t>
        </is>
      </c>
    </row>
    <row r="84">
      <c r="A84" s="0" t="inlineStr">
        <is>
          <t>Kéfir</t>
        </is>
      </c>
      <c r="B84" s="0" t="inlineStr">
        <is>
          <t>Family Cash</t>
        </is>
      </c>
      <c r="C84" s="0" t="n">
        <v>1.09</v>
      </c>
      <c r="D84" s="0" t="inlineStr">
        <is>
          <t>ud</t>
        </is>
      </c>
      <c r="E84" s="0" t="inlineStr">
        <is>
          <t>500 g</t>
        </is>
      </c>
      <c r="F84" s="0" t="inlineStr">
        <is>
          <t>Kéfir líquido natural Margui</t>
        </is>
      </c>
      <c r="G84" s="0" t="inlineStr">
        <is>
          <t>2026-09-07</t>
        </is>
      </c>
      <c r="H84" s="0" t="inlineStr">
        <is>
          <t>2026-09-27</t>
        </is>
      </c>
      <c r="I84" s="0" t="inlineStr">
        <is>
          <t>Precio de folleto (oferta del 7 al 27 sept), ya caducado</t>
        </is>
      </c>
      <c r="J84" s="0" t="inlineStr">
        <is>
          <t>https://familycash.folle.to/images/familycash/familycash-weekly-ad.pdf</t>
        </is>
      </c>
    </row>
    <row r="85">
      <c r="A85" s="0" t="inlineStr">
        <is>
          <t>Mantequilla</t>
        </is>
      </c>
      <c r="B85" s="0" t="inlineStr">
        <is>
          <t>Family Cash</t>
        </is>
      </c>
      <c r="C85" s="0" t="n">
        <v>1.85</v>
      </c>
      <c r="D85" s="0" t="inlineStr">
        <is>
          <t>ud</t>
        </is>
      </c>
      <c r="E85" s="0" t="inlineStr">
        <is>
          <t>250 g</t>
        </is>
      </c>
      <c r="F85" s="0" t="inlineStr">
        <is>
          <t>Mantequilla Lattena</t>
        </is>
      </c>
      <c r="G85" s="0" t="inlineStr">
        <is>
          <t>2026-09-07</t>
        </is>
      </c>
      <c r="H85" s="0" t="inlineStr">
        <is>
          <t>2026-09-27</t>
        </is>
      </c>
      <c r="I85" s="0" t="inlineStr">
        <is>
          <t>Precio de folleto (oferta del 7 al 27 sept), ya caducado</t>
        </is>
      </c>
      <c r="J85" s="0" t="inlineStr">
        <is>
          <t>https://familycash.folle.to/images/familycash/familycash-weekly-ad.pdf</t>
        </is>
      </c>
    </row>
    <row r="86">
      <c r="A86" s="0" t="inlineStr">
        <is>
          <t>Magdalenas</t>
        </is>
      </c>
      <c r="B86" s="0" t="inlineStr">
        <is>
          <t>Family Cash</t>
        </is>
      </c>
      <c r="C86" s="0" t="n">
        <v>1.99</v>
      </c>
      <c r="D86" s="0" t="inlineStr">
        <is>
          <t>ud</t>
        </is>
      </c>
      <c r="E86" s="0" t="inlineStr">
        <is>
          <t>495 g</t>
        </is>
      </c>
      <c r="F86" s="0" t="inlineStr">
        <is>
          <t>Magdalenas Dulces La Abuela</t>
        </is>
      </c>
      <c r="G86" s="0" t="inlineStr">
        <is>
          <t>2026-09-07</t>
        </is>
      </c>
      <c r="H86" s="0" t="inlineStr">
        <is>
          <t>2026-09-27</t>
        </is>
      </c>
      <c r="I86" s="0" t="inlineStr">
        <is>
          <t>Precio de folleto (oferta del 7 al 27 sept), ya caducado</t>
        </is>
      </c>
      <c r="J86" s="0" t="inlineStr">
        <is>
          <t>https://familycash.folle.to/images/familycash/familycash-weekly-ad.pdf</t>
        </is>
      </c>
    </row>
    <row r="87">
      <c r="A87" s="0" t="inlineStr">
        <is>
          <t>Pan de barra</t>
        </is>
      </c>
      <c r="B87" s="0" t="inlineStr">
        <is>
          <t>Family Cash</t>
        </is>
      </c>
      <c r="C87" s="0" t="n">
        <v>0.39</v>
      </c>
      <c r="D87" s="0" t="inlineStr">
        <is>
          <t>ud</t>
        </is>
      </c>
      <c r="E87" s="0" t="inlineStr">
        <is>
          <t>240 g</t>
        </is>
      </c>
      <c r="F87" s="0" t="inlineStr">
        <is>
          <t>Barra panadera (comprando 3)</t>
        </is>
      </c>
      <c r="G87" s="0" t="inlineStr">
        <is>
          <t>2026-09-07</t>
        </is>
      </c>
      <c r="H87" s="0" t="inlineStr">
        <is>
          <t>2026-09-27</t>
        </is>
      </c>
      <c r="I87" s="0" t="inlineStr">
        <is>
          <t>Precio de folleto (oferta del 7 al 27 sept), ya caducado</t>
        </is>
      </c>
      <c r="J87" s="0" t="inlineStr">
        <is>
          <t>https://familycash.folle.to/images/familycash/familycash-weekly-ad.pdf</t>
        </is>
      </c>
    </row>
    <row r="88">
      <c r="A88" s="0" t="inlineStr">
        <is>
          <t>Pan integral</t>
        </is>
      </c>
      <c r="B88" s="0" t="inlineStr">
        <is>
          <t>Family Cash</t>
        </is>
      </c>
      <c r="C88" s="0" t="n">
        <v>2.65</v>
      </c>
      <c r="D88" s="0" t="inlineStr">
        <is>
          <t>ud</t>
        </is>
      </c>
      <c r="E88" s="0" t="inlineStr">
        <is>
          <t>450 g</t>
        </is>
      </c>
      <c r="F88" s="0" t="inlineStr">
        <is>
          <t>Hogaza 100% integral</t>
        </is>
      </c>
      <c r="G88" s="0" t="inlineStr">
        <is>
          <t>2026-09-07</t>
        </is>
      </c>
      <c r="H88" s="0" t="inlineStr">
        <is>
          <t>2026-09-27</t>
        </is>
      </c>
      <c r="I88" s="0" t="inlineStr">
        <is>
          <t>Precio de folleto (oferta del 7 al 27 sept), ya caducado</t>
        </is>
      </c>
      <c r="J88" s="0" t="inlineStr">
        <is>
          <t>https://familycash.folle.to/images/familycash/familycash-weekly-ad.pdf</t>
        </is>
      </c>
    </row>
    <row r="89">
      <c r="A89" s="0" t="inlineStr">
        <is>
          <t>Agenda</t>
        </is>
      </c>
      <c r="B89" s="0" t="inlineStr">
        <is>
          <t>Family Cash</t>
        </is>
      </c>
      <c r="C89" s="0" t="n">
        <v>2.15</v>
      </c>
      <c r="D89" s="0" t="inlineStr">
        <is>
          <t>ud</t>
        </is>
      </c>
      <c r="E89" s="0" t="inlineStr">
        <is>
          <t>1 ud</t>
        </is>
      </c>
      <c r="F89" s="0" t="inlineStr">
        <is>
          <t>Agenda escolar 26-27</t>
        </is>
      </c>
      <c r="G89" s="0" t="inlineStr">
        <is>
          <t>2026-09-07</t>
        </is>
      </c>
      <c r="H89" s="0" t="inlineStr">
        <is>
          <t>2026-09-27</t>
        </is>
      </c>
      <c r="I89" s="0" t="inlineStr">
        <is>
          <t>Precio de folleto (oferta del 7 al 27 sept), ya caducado; Precio desde</t>
        </is>
      </c>
      <c r="J89" s="0" t="inlineStr">
        <is>
          <t>https://familycash.folle.to/images/familycash/familycash-weekly-ad.pdf</t>
        </is>
      </c>
    </row>
    <row r="90">
      <c r="A90" s="0" t="inlineStr">
        <is>
          <t>Bolígrafos</t>
        </is>
      </c>
      <c r="B90" s="0" t="inlineStr">
        <is>
          <t>Family Cash</t>
        </is>
      </c>
      <c r="C90" s="0" t="n">
        <v>1.79</v>
      </c>
      <c r="D90" s="0" t="inlineStr">
        <is>
          <t>ud</t>
        </is>
      </c>
      <c r="E90" s="0" t="inlineStr">
        <is>
          <t>10 ud</t>
        </is>
      </c>
      <c r="F90" s="0" t="inlineStr">
        <is>
          <t>Bic Cristal Soft</t>
        </is>
      </c>
      <c r="G90" s="0" t="inlineStr">
        <is>
          <t>2026-09-07</t>
        </is>
      </c>
      <c r="H90" s="0" t="inlineStr">
        <is>
          <t>2026-09-27</t>
        </is>
      </c>
      <c r="I90" s="0" t="inlineStr">
        <is>
          <t>Precio de folleto (oferta del 7 al 27 sept), ya caducado</t>
        </is>
      </c>
      <c r="J90" s="0" t="inlineStr">
        <is>
          <t>https://familycash.folle.to/images/familycash/familycash-weekly-ad.pdf</t>
        </is>
      </c>
    </row>
    <row r="91">
      <c r="A91" s="0" t="inlineStr">
        <is>
          <t>Carpetas</t>
        </is>
      </c>
      <c r="B91" s="0" t="inlineStr">
        <is>
          <t>Family Cash</t>
        </is>
      </c>
      <c r="C91" s="0" t="n">
        <v>8.949999999999999</v>
      </c>
      <c r="D91" s="0" t="inlineStr">
        <is>
          <t>ud</t>
        </is>
      </c>
      <c r="E91" s="0" t="inlineStr">
        <is>
          <t>1 ud</t>
        </is>
      </c>
      <c r="F91" s="0" t="inlineStr">
        <is>
          <t>Carpeta Campus Soft A4 con 25 recambios</t>
        </is>
      </c>
      <c r="G91" s="0" t="inlineStr">
        <is>
          <t>2026-09-07</t>
        </is>
      </c>
      <c r="H91" s="0" t="inlineStr">
        <is>
          <t>2026-09-27</t>
        </is>
      </c>
      <c r="I91" s="0" t="inlineStr">
        <is>
          <t>Precio de folleto (oferta del 7 al 27 sept), ya caducado</t>
        </is>
      </c>
      <c r="J91" s="0" t="inlineStr">
        <is>
          <t>https://familycash.folle.to/images/familycash/familycash-weekly-ad.pdf</t>
        </is>
      </c>
    </row>
    <row r="92">
      <c r="A92" s="0" t="inlineStr">
        <is>
          <t>Cuaderno</t>
        </is>
      </c>
      <c r="B92" s="0" t="inlineStr">
        <is>
          <t>Family Cash</t>
        </is>
      </c>
      <c r="C92" s="0" t="n">
        <v>1.25</v>
      </c>
      <c r="D92" s="0" t="inlineStr">
        <is>
          <t>ud</t>
        </is>
      </c>
      <c r="E92" s="0" t="inlineStr">
        <is>
          <t>1 ud</t>
        </is>
      </c>
      <c r="F92" s="0" t="inlineStr">
        <is>
          <t>Bloc A4 tapa blanda Campus, 80 hojas</t>
        </is>
      </c>
      <c r="G92" s="0" t="inlineStr">
        <is>
          <t>2026-09-07</t>
        </is>
      </c>
      <c r="H92" s="0" t="inlineStr">
        <is>
          <t>2026-09-27</t>
        </is>
      </c>
      <c r="I92" s="0" t="inlineStr">
        <is>
          <t>Precio de folleto (oferta del 7 al 27 sept), ya caducado</t>
        </is>
      </c>
      <c r="J92" s="0" t="inlineStr">
        <is>
          <t>https://familycash.folle.to/images/familycash/familycash-weekly-ad.pdf</t>
        </is>
      </c>
    </row>
    <row r="93">
      <c r="A93" s="0" t="inlineStr">
        <is>
          <t>Estuche</t>
        </is>
      </c>
      <c r="B93" s="0" t="inlineStr">
        <is>
          <t>Family Cash</t>
        </is>
      </c>
      <c r="C93" s="0" t="n">
        <v>6.95</v>
      </c>
      <c r="D93" s="0" t="inlineStr">
        <is>
          <t>ud</t>
        </is>
      </c>
      <c r="E93" s="0" t="inlineStr">
        <is>
          <t>1 ud</t>
        </is>
      </c>
      <c r="F93" s="0" t="inlineStr">
        <is>
          <t>Portatodo Oxford</t>
        </is>
      </c>
      <c r="G93" s="0" t="inlineStr">
        <is>
          <t>2026-09-07</t>
        </is>
      </c>
      <c r="H93" s="0" t="inlineStr">
        <is>
          <t>2026-09-27</t>
        </is>
      </c>
      <c r="I93" s="0" t="inlineStr">
        <is>
          <t>Precio de folleto (oferta del 7 al 27 sept), ya caducado; Precio desde</t>
        </is>
      </c>
      <c r="J93" s="0" t="inlineStr">
        <is>
          <t>https://familycash.folle.to/images/familycash/familycash-weekly-ad.pdf</t>
        </is>
      </c>
    </row>
    <row r="94">
      <c r="A94" s="0" t="inlineStr">
        <is>
          <t>Folios</t>
        </is>
      </c>
      <c r="B94" s="0" t="inlineStr">
        <is>
          <t>Family Cash</t>
        </is>
      </c>
      <c r="C94" s="0" t="n">
        <v>3.25</v>
      </c>
      <c r="D94" s="0" t="inlineStr">
        <is>
          <t>ud</t>
        </is>
      </c>
      <c r="E94" s="0" t="inlineStr">
        <is>
          <t>500 hojas</t>
        </is>
      </c>
      <c r="F94" s="0" t="inlineStr">
        <is>
          <t>Folios A4 Campus 80 g</t>
        </is>
      </c>
      <c r="G94" s="0" t="inlineStr">
        <is>
          <t>2026-09-07</t>
        </is>
      </c>
      <c r="H94" s="0" t="inlineStr">
        <is>
          <t>2026-09-27</t>
        </is>
      </c>
      <c r="I94" s="0" t="inlineStr">
        <is>
          <t>Precio de folleto (oferta del 7 al 27 sept), ya caducado</t>
        </is>
      </c>
      <c r="J94" s="0" t="inlineStr">
        <is>
          <t>https://familycash.folle.to/images/familycash/familycash-weekly-ad.pdf</t>
        </is>
      </c>
    </row>
    <row r="95">
      <c r="A95" s="0" t="inlineStr">
        <is>
          <t>Lápices</t>
        </is>
      </c>
      <c r="B95" s="0" t="inlineStr">
        <is>
          <t>Family Cash</t>
        </is>
      </c>
      <c r="C95" s="0" t="n">
        <v>2.45</v>
      </c>
      <c r="D95" s="0" t="inlineStr">
        <is>
          <t>ud</t>
        </is>
      </c>
      <c r="E95" s="0" t="inlineStr">
        <is>
          <t>1 ud</t>
        </is>
      </c>
      <c r="F95" s="0" t="inlineStr">
        <is>
          <t>Pack Staedtler 2 lápices Noris + boli y regla</t>
        </is>
      </c>
      <c r="G95" s="0" t="inlineStr">
        <is>
          <t>2026-09-07</t>
        </is>
      </c>
      <c r="H95" s="0" t="inlineStr">
        <is>
          <t>2026-09-27</t>
        </is>
      </c>
      <c r="I95" s="0" t="inlineStr">
        <is>
          <t>Precio de folleto (oferta del 7 al 27 sept), ya caducado</t>
        </is>
      </c>
      <c r="J95" s="0" t="inlineStr">
        <is>
          <t>https://familycash.folle.to/images/familycash/familycash-weekly-ad.pdf</t>
        </is>
      </c>
    </row>
    <row r="96">
      <c r="A96" s="0" t="inlineStr">
        <is>
          <t>Mochila</t>
        </is>
      </c>
      <c r="B96" s="0" t="inlineStr">
        <is>
          <t>Family Cash</t>
        </is>
      </c>
      <c r="C96" s="0" t="n">
        <v>6.95</v>
      </c>
      <c r="D96" s="0" t="inlineStr">
        <is>
          <t>ud</t>
        </is>
      </c>
      <c r="E96" s="0" t="inlineStr">
        <is>
          <t>1 ud</t>
        </is>
      </c>
      <c r="F96" s="0" t="inlineStr">
        <is>
          <t>Mochila 17 pulgadas</t>
        </is>
      </c>
      <c r="G96" s="0" t="inlineStr">
        <is>
          <t>2026-09-07</t>
        </is>
      </c>
      <c r="H96" s="0" t="inlineStr">
        <is>
          <t>2026-09-27</t>
        </is>
      </c>
      <c r="I96" s="0" t="inlineStr">
        <is>
          <t>Precio de folleto (oferta del 7 al 27 sept), ya caducado</t>
        </is>
      </c>
      <c r="J96" s="0" t="inlineStr">
        <is>
          <t>https://familycash.folle.to/images/familycash/familycash-weekly-ad.pdf</t>
        </is>
      </c>
    </row>
    <row r="97">
      <c r="A97" s="0" t="inlineStr">
        <is>
          <t>Arroz largo</t>
        </is>
      </c>
      <c r="B97" s="0" t="inlineStr">
        <is>
          <t>Family Cash</t>
        </is>
      </c>
      <c r="C97" s="0" t="n">
        <v>0.99</v>
      </c>
      <c r="D97" s="0" t="inlineStr">
        <is>
          <t>ud</t>
        </is>
      </c>
      <c r="E97" s="0" t="inlineStr">
        <is>
          <t>1 kg</t>
        </is>
      </c>
      <c r="F97" s="0" t="inlineStr">
        <is>
          <t>Arroz largo extra Family</t>
        </is>
      </c>
      <c r="G97" s="0" t="inlineStr">
        <is>
          <t>2026-09-07</t>
        </is>
      </c>
      <c r="H97" s="0" t="inlineStr">
        <is>
          <t>2026-09-27</t>
        </is>
      </c>
      <c r="I97" s="0" t="inlineStr">
        <is>
          <t>Precio de folleto (oferta del 7 al 27 sept), ya caducado</t>
        </is>
      </c>
      <c r="J97" s="0" t="inlineStr">
        <is>
          <t>https://familycash.folle.to/images/familycash/familycash-weekly-ad.pdf</t>
        </is>
      </c>
    </row>
    <row r="98">
      <c r="A98" s="0" t="inlineStr">
        <is>
          <t>Arroz redondo</t>
        </is>
      </c>
      <c r="B98" s="0" t="inlineStr">
        <is>
          <t>Family Cash</t>
        </is>
      </c>
      <c r="C98" s="0" t="n">
        <v>0.99</v>
      </c>
      <c r="D98" s="0" t="inlineStr">
        <is>
          <t>ud</t>
        </is>
      </c>
      <c r="E98" s="0" t="inlineStr">
        <is>
          <t>1 kg</t>
        </is>
      </c>
      <c r="F98" s="0" t="inlineStr">
        <is>
          <t>Arroz redondo extra Family</t>
        </is>
      </c>
      <c r="G98" s="0" t="inlineStr">
        <is>
          <t>2026-09-07</t>
        </is>
      </c>
      <c r="H98" s="0" t="inlineStr">
        <is>
          <t>2026-09-27</t>
        </is>
      </c>
      <c r="I98" s="0" t="inlineStr">
        <is>
          <t>Precio de folleto (oferta del 7 al 27 sept), ya caducado</t>
        </is>
      </c>
      <c r="J98" s="0" t="inlineStr">
        <is>
          <t>https://familycash.folle.to/images/familycash/familycash-weekly-ad.pdf</t>
        </is>
      </c>
    </row>
    <row r="99">
      <c r="A99" s="0" t="inlineStr">
        <is>
          <t>Fideos</t>
        </is>
      </c>
      <c r="B99" s="0" t="inlineStr">
        <is>
          <t>Family Cash</t>
        </is>
      </c>
      <c r="C99" s="0" t="n">
        <v>0.95</v>
      </c>
      <c r="D99" s="0" t="inlineStr">
        <is>
          <t>ud</t>
        </is>
      </c>
      <c r="E99" s="0" t="inlineStr">
        <is>
          <t>1 kg</t>
        </is>
      </c>
      <c r="F99" s="0" t="inlineStr">
        <is>
          <t>Fideo nº 0 Family</t>
        </is>
      </c>
      <c r="G99" s="0" t="inlineStr">
        <is>
          <t>2026-09-07</t>
        </is>
      </c>
      <c r="H99" s="0" t="inlineStr">
        <is>
          <t>2026-09-27</t>
        </is>
      </c>
      <c r="I99" s="0" t="inlineStr">
        <is>
          <t>Precio de folleto (oferta del 7 al 27 sept), ya caducado</t>
        </is>
      </c>
      <c r="J99" s="0" t="inlineStr">
        <is>
          <t>https://familycash.folle.to/images/familycash/familycash-weekly-ad.pdf</t>
        </is>
      </c>
    </row>
    <row r="100">
      <c r="A100" s="0" t="inlineStr">
        <is>
          <t>Garbanzos cocidos</t>
        </is>
      </c>
      <c r="B100" s="0" t="inlineStr">
        <is>
          <t>Family Cash</t>
        </is>
      </c>
      <c r="C100" s="0" t="n">
        <v>0.6899999999999999</v>
      </c>
      <c r="D100" s="0" t="inlineStr">
        <is>
          <t>ud</t>
        </is>
      </c>
      <c r="E100" s="0" t="inlineStr">
        <is>
          <t>400 g</t>
        </is>
      </c>
      <c r="F100" s="0" t="inlineStr">
        <is>
          <t>Garbanzos cocidos Didi (peso escurrido)</t>
        </is>
      </c>
      <c r="G100" s="0" t="inlineStr">
        <is>
          <t>2026-09-07</t>
        </is>
      </c>
      <c r="H100" s="0" t="inlineStr">
        <is>
          <t>2026-09-27</t>
        </is>
      </c>
      <c r="I100" s="0" t="inlineStr">
        <is>
          <t>Precio de folleto (oferta del 7 al 27 sept), ya caducado</t>
        </is>
      </c>
      <c r="J100" s="0" t="inlineStr">
        <is>
          <t>https://familycash.folle.to/images/familycash/familycash-weekly-ad.pdf</t>
        </is>
      </c>
    </row>
    <row r="101">
      <c r="A101" s="0" t="inlineStr">
        <is>
          <t>Lentejas cocidas</t>
        </is>
      </c>
      <c r="B101" s="0" t="inlineStr">
        <is>
          <t>Family Cash</t>
        </is>
      </c>
      <c r="C101" s="0" t="n">
        <v>0.6899999999999999</v>
      </c>
      <c r="D101" s="0" t="inlineStr">
        <is>
          <t>ud</t>
        </is>
      </c>
      <c r="E101" s="0" t="inlineStr">
        <is>
          <t>400 g</t>
        </is>
      </c>
      <c r="F101" s="0" t="inlineStr">
        <is>
          <t>Lentejas cocidas Didi (peso escurrido)</t>
        </is>
      </c>
      <c r="G101" s="0" t="inlineStr">
        <is>
          <t>2026-09-07</t>
        </is>
      </c>
      <c r="H101" s="0" t="inlineStr">
        <is>
          <t>2026-09-27</t>
        </is>
      </c>
      <c r="I101" s="0" t="inlineStr">
        <is>
          <t>Precio de folleto (oferta del 7 al 27 sept), ya caducado</t>
        </is>
      </c>
      <c r="J101" s="0" t="inlineStr">
        <is>
          <t>https://familycash.folle.to/images/familycash/familycash-weekly-ad.pdf</t>
        </is>
      </c>
    </row>
    <row r="102">
      <c r="A102" s="0" t="inlineStr">
        <is>
          <t>Macarrones</t>
        </is>
      </c>
      <c r="B102" s="0" t="inlineStr">
        <is>
          <t>Family Cash</t>
        </is>
      </c>
      <c r="C102" s="0" t="n">
        <v>0.95</v>
      </c>
      <c r="D102" s="0" t="inlineStr">
        <is>
          <t>ud</t>
        </is>
      </c>
      <c r="E102" s="0" t="inlineStr">
        <is>
          <t>1 kg</t>
        </is>
      </c>
      <c r="F102" s="0" t="inlineStr">
        <is>
          <t>Macarrón Family</t>
        </is>
      </c>
      <c r="G102" s="0" t="inlineStr">
        <is>
          <t>2026-09-07</t>
        </is>
      </c>
      <c r="H102" s="0" t="inlineStr">
        <is>
          <t>2026-09-27</t>
        </is>
      </c>
      <c r="I102" s="0" t="inlineStr">
        <is>
          <t>Precio de folleto (oferta del 7 al 27 sept), ya caducado</t>
        </is>
      </c>
      <c r="J102" s="0" t="inlineStr">
        <is>
          <t>https://familycash.folle.to/images/familycash/familycash-weekly-ad.pdf</t>
        </is>
      </c>
    </row>
    <row r="103">
      <c r="A103" s="0" t="inlineStr">
        <is>
          <t>Tallarines</t>
        </is>
      </c>
      <c r="B103" s="0" t="inlineStr">
        <is>
          <t>Family Cash</t>
        </is>
      </c>
      <c r="C103" s="0" t="n">
        <v>0.95</v>
      </c>
      <c r="D103" s="0" t="inlineStr">
        <is>
          <t>ud</t>
        </is>
      </c>
      <c r="E103" s="0" t="inlineStr">
        <is>
          <t>1 kg</t>
        </is>
      </c>
      <c r="F103" s="0" t="inlineStr">
        <is>
          <t>Tallarín Family</t>
        </is>
      </c>
      <c r="G103" s="0" t="inlineStr">
        <is>
          <t>2026-09-07</t>
        </is>
      </c>
      <c r="H103" s="0" t="inlineStr">
        <is>
          <t>2026-09-27</t>
        </is>
      </c>
      <c r="I103" s="0" t="inlineStr">
        <is>
          <t>Precio de folleto (oferta del 7 al 27 sept), ya caducado</t>
        </is>
      </c>
      <c r="J103" s="0" t="inlineStr">
        <is>
          <t>https://familycash.folle.to/images/familycash/familycash-weekly-ad.pdf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2026-10-04T20:42:00Z</dcterms:created>
  <dcterms:modified xmlns:dcterms="http://purl.org/dc/terms/" xmlns:xsi="http://www.w3.org/2001/XMLSchema-instance" xsi:type="dcterms:W3CDTF">2026-10-05T16:25:45Z</dcterms:modified>
</cp:coreProperties>
</file>